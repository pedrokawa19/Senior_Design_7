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EMAIL" sheetId="1"/>
  </sheets>
  <definedNames>
    <definedName name="_xlnm._FilterDatabase" localSheetId="0">EMAIL!$A$1:$AQ$362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<sst xmlns="http://schemas.openxmlformats.org/spreadsheetml/2006/main" count="685" uniqueCount="685">
  <si>
    <t xml:space="preserve">Coil </t>
  </si>
  <si>
    <t>BIDS</t>
  </si>
  <si>
    <t>Non-Prime Status</t>
  </si>
  <si>
    <t xml:space="preserve"> Product </t>
  </si>
  <si>
    <t xml:space="preserve"> Gauge </t>
  </si>
  <si>
    <t>MIN/NOM</t>
  </si>
  <si>
    <t xml:space="preserve"> Width </t>
  </si>
  <si>
    <t xml:space="preserve"> Weight  </t>
  </si>
  <si>
    <t>Tons</t>
  </si>
  <si>
    <t>CWT</t>
  </si>
  <si>
    <t xml:space="preserve"> Grade </t>
  </si>
  <si>
    <t xml:space="preserve"> TAIL_YS </t>
  </si>
  <si>
    <t xml:space="preserve"> TAIL_TS </t>
  </si>
  <si>
    <t xml:space="preserve"> TAIL_EL </t>
  </si>
  <si>
    <t xml:space="preserve">HARDNESS_TAIL </t>
  </si>
  <si>
    <t xml:space="preserve"> HEAD_YS </t>
  </si>
  <si>
    <t xml:space="preserve"> HEAD_TS </t>
  </si>
  <si>
    <t xml:space="preserve"> HEAD_EL </t>
  </si>
  <si>
    <t xml:space="preserve">HARDNESS_HEAD </t>
  </si>
  <si>
    <t xml:space="preserve"> Ctg WT </t>
  </si>
  <si>
    <t xml:space="preserve"> Surf Trt </t>
  </si>
  <si>
    <t xml:space="preserve"> Oil </t>
  </si>
  <si>
    <t xml:space="preserve"> Event 1 </t>
  </si>
  <si>
    <t xml:space="preserve"> Event 2 </t>
  </si>
  <si>
    <t xml:space="preserve"> Event 3 </t>
  </si>
  <si>
    <t>Comments</t>
  </si>
  <si>
    <t xml:space="preserve"> C </t>
  </si>
  <si>
    <t xml:space="preserve"> Mn </t>
  </si>
  <si>
    <t xml:space="preserve"> P </t>
  </si>
  <si>
    <t xml:space="preserve"> S </t>
  </si>
  <si>
    <t xml:space="preserve"> Si </t>
  </si>
  <si>
    <t xml:space="preserve"> Cu </t>
  </si>
  <si>
    <t xml:space="preserve"> Ni </t>
  </si>
  <si>
    <t xml:space="preserve"> Cr </t>
  </si>
  <si>
    <t xml:space="preserve"> Mo </t>
  </si>
  <si>
    <t xml:space="preserve"> Sn </t>
  </si>
  <si>
    <t xml:space="preserve"> Al </t>
  </si>
  <si>
    <t xml:space="preserve"> V </t>
  </si>
  <si>
    <t xml:space="preserve"> Nb </t>
  </si>
  <si>
    <t xml:space="preserve"> Ti </t>
  </si>
  <si>
    <t xml:space="preserve"> B </t>
  </si>
  <si>
    <t xml:space="preserve"> N </t>
  </si>
  <si>
    <t xml:space="preserve"> Ca </t>
  </si>
  <si>
    <t>EX</t>
  </si>
  <si>
    <t xml:space="preserve">HRB   </t>
  </si>
  <si>
    <t>NOM</t>
  </si>
  <si>
    <t>106Z55</t>
  </si>
  <si>
    <t xml:space="preserve">DRY   </t>
  </si>
  <si>
    <t xml:space="preserve">LAST BAR OF CAST SEQUENCE_x0009_  </t>
  </si>
  <si>
    <t xml:space="preserve">HOT MILL EXCESS_x0009__x0009_ </t>
  </si>
  <si>
    <t>CHEM OUTSIDE MELT GRADE LIMITS</t>
  </si>
  <si>
    <t>S</t>
  </si>
  <si>
    <t xml:space="preserve">DRY_x0009_</t>
  </si>
  <si>
    <t xml:space="preserve">BRUISE:  HOT MILL_x0009_       </t>
  </si>
  <si>
    <t xml:space="preserve">CUT-BACK NEEDED _x0009_      </t>
  </si>
  <si>
    <t xml:space="preserve">WIDTH VARIATION_x0009__x0009_     </t>
  </si>
  <si>
    <t xml:space="preserve">GRD X: 106Z55/1008X4; Grade X   - </t>
  </si>
  <si>
    <t>7059A3</t>
  </si>
  <si>
    <t xml:space="preserve">DRY_x0009_ </t>
  </si>
  <si>
    <t xml:space="preserve">LAMINATIONS_x0009__x0009__x0009_</t>
  </si>
  <si>
    <t xml:space="preserve">MOLD LEVEL FLUCTUATION        </t>
  </si>
  <si>
    <t xml:space="preserve">FLATNESS RATIO A_x0009_      </t>
  </si>
  <si>
    <t>Large lam ~1655 ft from HM ID  . -Mold Level Fluctuation</t>
  </si>
  <si>
    <t>MIN</t>
  </si>
  <si>
    <t>1008RS</t>
  </si>
  <si>
    <t xml:space="preserve">STOPPER ROD FLUSH_x0009_       </t>
  </si>
  <si>
    <t xml:space="preserve">LOW LADLE SHROUD ARGON FLOW   </t>
  </si>
  <si>
    <t>Lams thru coil - . -Low Shroud Argon Flow  -SR Erosion</t>
  </si>
  <si>
    <t>1004DD</t>
  </si>
  <si>
    <t xml:space="preserve">RINSE TIME SUFFICIENCY        </t>
  </si>
  <si>
    <t xml:space="preserve">LATE ARCING/ALLOYING_x0009_      </t>
  </si>
  <si>
    <t>two 5" laminations (One top at 985 ft HM ID and one bottom at 1 541 ft HM ID)  . -Rinse Time Low  -Late Arcing/Alloying</t>
  </si>
  <si>
    <t xml:space="preserve">HOT MILL RIDGE_x0009__x0009_      </t>
  </si>
  <si>
    <t xml:space="preserve">LAMINATIONS_x0009__x0009_     </t>
  </si>
  <si>
    <t>4" bubble lams at 2 782 ft and 2 303 ft HM OD  . -Rinse Time Low  -Profile Ridge Detected</t>
  </si>
  <si>
    <t>Multiple +6" lams on top of coil at 700 ft HM OD and 1 887 ft HM OD  . -Rinse Time Low</t>
  </si>
  <si>
    <t>12" bubble lam at 1 720 from HM ID  . -  -  -  -SR Erosion over Previous Heat  -Profile Ridge Detected</t>
  </si>
  <si>
    <t>1035RS</t>
  </si>
  <si>
    <t xml:space="preserve">LAMINATIONS_x0009__x0009__x0009_ </t>
  </si>
  <si>
    <t xml:space="preserve">RINSE FLOW HEALTH_x0009__x0009_</t>
  </si>
  <si>
    <t xml:space="preserve">INCORRECTLY SCHEDULED_x0009_       </t>
  </si>
  <si>
    <t xml:space="preserve">Hole in shroud. Scattered lams and mold powder_x0009_. -  -Rinse Flow Rate High_x0009_ </t>
  </si>
  <si>
    <t xml:space="preserve">CASTER STICKER ALARM _x0009_ </t>
  </si>
  <si>
    <t>ROUGHER VISUAL INSPECT FAILURE</t>
  </si>
  <si>
    <t xml:space="preserve">RINSE FLOW HEALTH_x0009_       </t>
  </si>
  <si>
    <t>Sticker at ~1200 ft HM ID and small lams throughout  . -CASTER STICKER ALARM_x0009_-Failed Visual Inspection  -Rinse Flow Rate High_x0009_  -  WV</t>
  </si>
  <si>
    <t>1005T2</t>
  </si>
  <si>
    <t xml:space="preserve">CHEM FORMULA FAILED_x0009_   </t>
  </si>
  <si>
    <t xml:space="preserve">COILING TEMP VARIATION_x0009_ </t>
  </si>
  <si>
    <t xml:space="preserve">Low Shroud Argon Flow   - </t>
  </si>
  <si>
    <t>1005RS</t>
  </si>
  <si>
    <t xml:space="preserve">UNDERWEIGHT_x0009__x0009_       </t>
  </si>
  <si>
    <t xml:space="preserve">COIL REFERRED TO SALES_x0009_      </t>
  </si>
  <si>
    <t xml:space="preserve">HM OPER HOLD VIA LEVEL 2      </t>
  </si>
  <si>
    <t>CASTER STICKER ALARM  -Failed Visual Inspection  -Severe imperfections in slab body -Tundish Diffuser Alarm    -</t>
  </si>
  <si>
    <t xml:space="preserve">RADICAL GRADE TRANSITION BAR  </t>
  </si>
  <si>
    <t xml:space="preserve">HOT MILL EXCESS _x0009_      </t>
  </si>
  <si>
    <t xml:space="preserve">GRD X: 7078A3/7059A3; GX </t>
  </si>
  <si>
    <t xml:space="preserve">APPLIED GRADE TRANSITION BAR  </t>
  </si>
  <si>
    <t>SR Erosion over Previous Heat_x0009_  - GRD X: 7059A3/7060A1;</t>
  </si>
  <si>
    <t xml:space="preserve">MOLD LEVEL FLUCTUATION_x0009_</t>
  </si>
  <si>
    <t>Lams through coil - . -Mold Level Fluctuation</t>
  </si>
  <si>
    <t xml:space="preserve">CLOGGING_x0009__x0009__x0009_</t>
  </si>
  <si>
    <t>Large lams on bottom of coil - . -SR Clogging</t>
  </si>
  <si>
    <t xml:space="preserve">CASTER SPEED CHANGE IN BAR_x0009_</t>
  </si>
  <si>
    <t>Sticker and large lams ~1 089 from HM OD  . -CASTER STICKER ALARM  --Failed Visual Inspection  -Severe imperfections in slab body_x0009_-Cast Speed Change    - EW</t>
  </si>
  <si>
    <t xml:space="preserve">CASTER STICKER ALARM_x0009__x0009_</t>
  </si>
  <si>
    <t xml:space="preserve">PROFILE_x0009__x0009_       </t>
  </si>
  <si>
    <t>Bubble lam and sticker ~295 ft from HM OD  . -CASTER STICKER ALARM_x0009_ - EW</t>
  </si>
  <si>
    <t xml:space="preserve">RADICAL GRADE TRANSITION BAR_x0009_</t>
  </si>
  <si>
    <t xml:space="preserve">HOT MILL EXCESS_x0009_       </t>
  </si>
  <si>
    <t xml:space="preserve"> GRD X: 7059A3/7060A0; Grade X</t>
  </si>
  <si>
    <t>7060A1</t>
  </si>
  <si>
    <t xml:space="preserve">PROFILE_x0009__x0009__x0009_ </t>
  </si>
  <si>
    <t xml:space="preserve">WEDGE - TOO MUCH - HOT MILL_x0009_</t>
  </si>
  <si>
    <t xml:space="preserve">EST FIN WGT DOESN'T FIT ORDER </t>
  </si>
  <si>
    <t xml:space="preserve">PROFILE_x0009__x0009__x0009_</t>
  </si>
  <si>
    <t xml:space="preserve">WEDGE - TOO MUCH - HOT MILL   </t>
  </si>
  <si>
    <t xml:space="preserve">WIDTH VARIATION _x0009_      </t>
  </si>
  <si>
    <t xml:space="preserve">WIDTH VARIATION_x0009_       </t>
  </si>
  <si>
    <t xml:space="preserve">WEDGE _x0009__x0009__x0009_</t>
  </si>
  <si>
    <t>7060A0</t>
  </si>
  <si>
    <t xml:space="preserve">CASTER STICKER ALARM  -Failed Visual Inspection  -Severe imperfections in slab body  -Rinse Flow Rate High    - </t>
  </si>
  <si>
    <t xml:space="preserve">PROFILE _x0009__x0009_      </t>
  </si>
  <si>
    <t xml:space="preserve">5 in lam on top side of coil  should be ok - . -Rinse Time Low  -Tundish Preheat &gt; 240 Min  -Low Shroud Argon Flow   </t>
  </si>
  <si>
    <t xml:space="preserve">CUT-BACK NEEDED_x0009_       </t>
  </si>
  <si>
    <t xml:space="preserve">RINSE FLOW HEALTH_x0009_     </t>
  </si>
  <si>
    <t>Rinse Time Low  -Rinse Flow Rate High  -SR Erosion over Previous Heat    - GRD X: 1008N2/7059A3; RAD GX</t>
  </si>
  <si>
    <t>1005T4</t>
  </si>
  <si>
    <t xml:space="preserve">CUT-BACK NEEDED_x0009__x0009_</t>
  </si>
  <si>
    <t>GRD X: 1005T4/1005T2;</t>
  </si>
  <si>
    <t>7078A3</t>
  </si>
  <si>
    <t xml:space="preserve">INCOMPLETE GRADE TRANSITION_x0009_ </t>
  </si>
  <si>
    <t>EW GRD X: 7059A3/7078A3;</t>
  </si>
  <si>
    <t xml:space="preserve">CHEM OUTSIDE SPEC LIMITS_x0009_</t>
  </si>
  <si>
    <t>GRD X: 7059A3/7078A3; Grade X</t>
  </si>
  <si>
    <t xml:space="preserve">HOLD PENDING CHEM TEST_x0009_</t>
  </si>
  <si>
    <t xml:space="preserve">GRD X: 7078A3/7059A3; </t>
  </si>
  <si>
    <t>106Z61</t>
  </si>
  <si>
    <t xml:space="preserve">HOT MILL RIDGE_x0009__x0009_ </t>
  </si>
  <si>
    <t xml:space="preserve">LAST BAR OF CAST SEQUENCE_x0009_</t>
  </si>
  <si>
    <t>-Profile Ridge Detected_x0009_  -</t>
  </si>
  <si>
    <t>1005P2</t>
  </si>
  <si>
    <t xml:space="preserve"> GRD X: 1005P2/1005RP; No Intermix</t>
  </si>
  <si>
    <t xml:space="preserve">APPLIED GRADE TRANSITION BAR_x0009_</t>
  </si>
  <si>
    <t xml:space="preserve"> GRD X: 1005P2/1005RP;</t>
  </si>
  <si>
    <t xml:space="preserve">EXCESSIVE AL FADE_x0009_       </t>
  </si>
  <si>
    <t>Multiple 10 in lams on top side - . -Cast Speed Change  -Excessive Al Fade    - WV</t>
  </si>
  <si>
    <t xml:space="preserve">HOT MILL EXCESS_x0009__x0009_</t>
  </si>
  <si>
    <t>GRD X: 7059A3/7060A1; GRADE X</t>
  </si>
  <si>
    <t>1008ST</t>
  </si>
  <si>
    <t xml:space="preserve">CHEM OUTSIDE SPEC LIMITS_x0009_  </t>
  </si>
  <si>
    <t xml:space="preserve">SUBSTITUTE GRADE USED_x0009_ </t>
  </si>
  <si>
    <t>1008N2</t>
  </si>
  <si>
    <t xml:space="preserve">HOT MILL EXCESS_x0009__x0009_     </t>
  </si>
  <si>
    <t xml:space="preserve">OVERWEIGHT_x0009__x0009_    </t>
  </si>
  <si>
    <t xml:space="preserve"> GRD X: 1008N2/7059A3; RAD GX</t>
  </si>
  <si>
    <t xml:space="preserve">INCOMPLETE GRADE TRANSITION   </t>
  </si>
  <si>
    <t xml:space="preserve">PROFILE_x0009__x0009__x0009_     </t>
  </si>
  <si>
    <t xml:space="preserve">CUT-BACK NEEDED_x0009__x0009_    </t>
  </si>
  <si>
    <t xml:space="preserve"> EW GRD X: 1008X4/106Z55;   - </t>
  </si>
  <si>
    <t xml:space="preserve">EW GRD X: 1008X4/106Z55;   - </t>
  </si>
  <si>
    <t>1008X4</t>
  </si>
  <si>
    <t xml:space="preserve">CUT-BACK NEEDED_x0009__x0009_   </t>
  </si>
  <si>
    <t xml:space="preserve">GRD X: 1008X4/106Z55;   - </t>
  </si>
  <si>
    <t xml:space="preserve">FLATNESS RATIO B_x0009_       </t>
  </si>
  <si>
    <t xml:space="preserve">COILING TEMP VARIATION_x0009_      </t>
  </si>
  <si>
    <t>1004RB</t>
  </si>
  <si>
    <t xml:space="preserve">DIFFUSER FAILURE_x0009_       </t>
  </si>
  <si>
    <t xml:space="preserve">SUBSTITUTE GRADE USED_x0009_      </t>
  </si>
  <si>
    <t>8 in lam at 300 ft from HM OD and another 5 in lam on bottom     -  -Failed Visual Inspection_x0009_-CASTER STICKER ALARM  -Tundish Diffuser Alarm    -</t>
  </si>
  <si>
    <t xml:space="preserve">  - GRD X: 7078A3/7059A3; </t>
  </si>
  <si>
    <t xml:space="preserve">  - GRD X: 7059A3/7060A0; Radical Grade X</t>
  </si>
  <si>
    <t xml:space="preserve">  - GRD X: 1005RP/1005RS;</t>
  </si>
  <si>
    <t xml:space="preserve">  - GRD X: 1008N2/7059A3; RAD GX</t>
  </si>
  <si>
    <t xml:space="preserve">  - GRD X: 1005RS/1005P2; RAD GX</t>
  </si>
  <si>
    <t xml:space="preserve">STOPPER ROD FLUSH_x0009__x0009_</t>
  </si>
  <si>
    <t>-SR Erosion over Previous Heat</t>
  </si>
  <si>
    <t>1004RT</t>
  </si>
  <si>
    <t xml:space="preserve">ESTIMATED WEIGHT_x0009__x0009_</t>
  </si>
  <si>
    <t>SAT IN TUNNEL FURNACE &gt; 45 MIN</t>
  </si>
  <si>
    <t>Sticker in center of coil  . -Low Shroud Argon Flow_x0009_ -  WV</t>
  </si>
  <si>
    <t xml:space="preserve">PROFILE_x0009__x0009__x0009_   </t>
  </si>
  <si>
    <t xml:space="preserve">CUT-BACK NEEDED_x0009__x0009_  </t>
  </si>
  <si>
    <t xml:space="preserve">TRANSVERSE CRACKS_x0009_      </t>
  </si>
  <si>
    <t>TRANSVERSE CRACKS  -Failed Visual Inspection    - GRD X: 1008N2/7060A0; RAD GX</t>
  </si>
  <si>
    <t>-Profile Ridge Detected_x0009_ - GRD X: 1008N2/7060A0; RAD GX</t>
  </si>
  <si>
    <t xml:space="preserve">COILING TEMP VARIATION        </t>
  </si>
  <si>
    <t xml:space="preserve"> GRD X: 7060A0/7078A3;</t>
  </si>
  <si>
    <t xml:space="preserve">HOLD PENDING CHEM TEST        </t>
  </si>
  <si>
    <t>-Low Shroud Argon Flow    - GRD X: 1005RS/1005P2; RAD GX</t>
  </si>
  <si>
    <t xml:space="preserve">INCOMPLETE GRADE TRANSITION_x0009_</t>
  </si>
  <si>
    <t xml:space="preserve">HOT MILL RIDGE _x0009_       </t>
  </si>
  <si>
    <t xml:space="preserve">STOPPER ROD FLUSH_x0009_      </t>
  </si>
  <si>
    <t>-SR Erosion  -Profile Ridge Detected    - GRD X: 1005RS/1005P2; R/C</t>
  </si>
  <si>
    <t>107RP2</t>
  </si>
  <si>
    <t xml:space="preserve">  - GRD X: 1005RS/107RP2;</t>
  </si>
  <si>
    <t>-Tundish Diffuser Alarm_x0009_ - GRD X: 1005RS/107RP2; RAD GX</t>
  </si>
  <si>
    <t>GRADE TRANSITION STARTED EARLY</t>
  </si>
  <si>
    <t>-Profile Ridge Detected_x0009_ - GRD X: 1005RS/1005RP; RAD X</t>
  </si>
  <si>
    <t>GRD X: 1005RS/1005RP; RAD GX</t>
  </si>
  <si>
    <t>Profile Ridge Detected_x0009_ - GRD X: 1005RS/1005P2; RAD GX</t>
  </si>
  <si>
    <t>GRD X: 1005RS/1005P2; RAD GX</t>
  </si>
  <si>
    <t>Profile Ridge Detected    - GRD X: 1005RS/1005P2; RAD GX</t>
  </si>
  <si>
    <t>1005T5</t>
  </si>
  <si>
    <t xml:space="preserve">HOT MILL EXCESS_x0009__x0009_    </t>
  </si>
  <si>
    <t xml:space="preserve">GRD X: 1005T4/1005T5; GX/   - </t>
  </si>
  <si>
    <t>CASTER STICKER ALARM  -Failed Visual Inspection_x0009_-Severe imperfections in slab body</t>
  </si>
  <si>
    <t xml:space="preserve">  - GRD X: 1005RS/1005RP; RAD GX</t>
  </si>
  <si>
    <t xml:space="preserve">TRANSVERSE CRACKS_x0009__x0009_</t>
  </si>
  <si>
    <t>Sticker and lams  -CASTER STICKER ALARM  -Failed Visual Inspection  -Severe imperfections in slab body</t>
  </si>
  <si>
    <t xml:space="preserve">CUT-BACK NEEDED_x0009__x0009_     </t>
  </si>
  <si>
    <t xml:space="preserve">RINSE TIME SUFFICIENCY_x0009_    </t>
  </si>
  <si>
    <t xml:space="preserve">Rinse Time Low  -Late Arcing/Alloying    - GRD X: 106Z61/1008X3; Grade X   - </t>
  </si>
  <si>
    <t>GRD X: 1008X4/106Z55; Grade X</t>
  </si>
  <si>
    <t xml:space="preserve">UNDERWEIGHT _x0009__x0009_  </t>
  </si>
  <si>
    <t xml:space="preserve">COIL REFERRED TO SALES_x0009_ </t>
  </si>
  <si>
    <t xml:space="preserve">-Rinse Time Low    - </t>
  </si>
  <si>
    <t xml:space="preserve">  GRD X: 106Z61/1008X4; Grade X</t>
  </si>
  <si>
    <t xml:space="preserve">GRD X: 1005T4/1005T2; </t>
  </si>
  <si>
    <t xml:space="preserve"> GRD X: 1005T4/1005T2; RC GX </t>
  </si>
  <si>
    <t xml:space="preserve">OVERWEIGHT_x0009__x0009_      </t>
  </si>
  <si>
    <t xml:space="preserve"> GRD X: 1020RS/1035RS; RAD GX</t>
  </si>
  <si>
    <t xml:space="preserve">FINISHING TEMP VARIATION      </t>
  </si>
  <si>
    <t xml:space="preserve">EW </t>
  </si>
  <si>
    <t xml:space="preserve">RINSE FLOW HEALTH_x0009__x0009_  </t>
  </si>
  <si>
    <t xml:space="preserve">LAST BAR OF CAST SEQUENCE_x0009_ </t>
  </si>
  <si>
    <t>Rinse Flow Rate High_x0009_ -</t>
  </si>
  <si>
    <t>GRD X: 1005T2/1005T5; RADGX</t>
  </si>
  <si>
    <t xml:space="preserve">OVERWEIGHT_x0009__x0009_     </t>
  </si>
  <si>
    <t xml:space="preserve">  GRD X: 1008X3/106Z55;</t>
  </si>
  <si>
    <t xml:space="preserve"> EW GRD X: 1008X4/106Z55; R/C  grdx</t>
  </si>
  <si>
    <t>1005RP</t>
  </si>
  <si>
    <t>Profile Ridge Detected    - GRD X: 1005RS/1005RP; RAD X</t>
  </si>
  <si>
    <t xml:space="preserve">SCALE : NO DESCALE_x0009_       </t>
  </si>
  <si>
    <t xml:space="preserve">R/C </t>
  </si>
  <si>
    <t>SR Erosion over Previous Heat  -Rinse Time Low  -Cast Speed Change    - GRD X: 1008N2/7059A3; RAD GX/Sticker</t>
  </si>
  <si>
    <t xml:space="preserve">FIRST BAR OF CAST SEQUENCE    </t>
  </si>
  <si>
    <t xml:space="preserve"> Large lams at 1700 ft from HM OD - .  - EW WV</t>
  </si>
  <si>
    <t xml:space="preserve">WIDTH VARIATION_x0009__x0009_</t>
  </si>
  <si>
    <t xml:space="preserve">WEDGE_x0009__x0009__x0009_ </t>
  </si>
  <si>
    <t xml:space="preserve">  GRD X: 1008X4/106Z61; R/C Grade X</t>
  </si>
  <si>
    <t>GRD X: 7059A3/7060A0; Radical Graed X</t>
  </si>
  <si>
    <t>8225A3</t>
  </si>
  <si>
    <t xml:space="preserve">WIDTH VARIATION_x0009__x0009_ </t>
  </si>
  <si>
    <t xml:space="preserve">SUBSTITUTE GRADE USED_x0009_       </t>
  </si>
  <si>
    <t>Width Move; 56" to 53".  RAD GX</t>
  </si>
  <si>
    <t xml:space="preserve">SCALE : PRIMARY _x0009_      </t>
  </si>
  <si>
    <t>Failed Visual Inspection  -SCALE : PRIMARY    -  EW GRD X: 7059A3/7060A0; RAD GX</t>
  </si>
  <si>
    <t>GRD X: 1006N2/7060A0; RAD GX</t>
  </si>
  <si>
    <t xml:space="preserve">HOT MILL RIDGE_x0009__x0009_</t>
  </si>
  <si>
    <t xml:space="preserve">Profile Ridge Detected_x0009_  - EW GRD X: 7059A3/7060A0; Grade X  </t>
  </si>
  <si>
    <t xml:space="preserve">Profile Ridge Detected_x0009_ -  GRD X: 7060A0/7059A3; Grade X_x0009_</t>
  </si>
  <si>
    <t xml:space="preserve">SCALE : PRIMARY_x0009__x0009_</t>
  </si>
  <si>
    <t>Failed Visual Inspection  -SCALE : PRIMARY  -Rinse Flow Rate High    -  EW GRD X: 7059A3/7060A0; RAD GX</t>
  </si>
  <si>
    <t>GRD X: 1008X4/106Z55; R/C Radical Garde X</t>
  </si>
  <si>
    <t xml:space="preserve">GRD X: 7059A3/7060A0; GX </t>
  </si>
  <si>
    <t xml:space="preserve">HM OPER HOLD VIA LEVEL 2_x0009_ </t>
  </si>
  <si>
    <t xml:space="preserve">CASTER WIDTH MOVE IN BAR      </t>
  </si>
  <si>
    <t xml:space="preserve">Width 51 to 48" in coil: -    </t>
  </si>
  <si>
    <t xml:space="preserve">CHEM OUTSIDE SPEC LIMITS_x0009_ </t>
  </si>
  <si>
    <t xml:space="preserve">CASTER WIDTH MOVE IN BAR_x0009_</t>
  </si>
  <si>
    <t xml:space="preserve">Width 52  to 51": -      </t>
  </si>
  <si>
    <t xml:space="preserve">Width: 56" to 53" during coil. -_x0009_   </t>
  </si>
  <si>
    <t xml:space="preserve">Width 60" to 56" in coil: -     </t>
  </si>
  <si>
    <t xml:space="preserve">WEDGE_x0009__x0009__x0009_     </t>
  </si>
  <si>
    <t xml:space="preserve">FLATNESS RATIO A_x0009__x0009_</t>
  </si>
  <si>
    <t xml:space="preserve"> GRD X: 1020RS/1035RS; RADGX</t>
  </si>
  <si>
    <t>CASTER STICKER ALARM   -FAILED VISUAL INSPECTION   -RINSE TIME LOW   -SR EROSION OVER HEAT   -LOW SHROUD ARGON FLOW    - EW</t>
  </si>
  <si>
    <t>1006N2</t>
  </si>
  <si>
    <t xml:space="preserve">CUT-BACK NEEDED_x0009__x0009_ </t>
  </si>
  <si>
    <t>GRD X: 1006N2/7060A0; RADGX</t>
  </si>
  <si>
    <t>1019RS</t>
  </si>
  <si>
    <t xml:space="preserve">NARROW - HOT MILL_x0009__x0009_ </t>
  </si>
  <si>
    <t>Width Variation 67-61"</t>
  </si>
  <si>
    <t>1006N4</t>
  </si>
  <si>
    <t xml:space="preserve"> GRD X: 1006N4/106A65; Grade X</t>
  </si>
  <si>
    <t>1008NS</t>
  </si>
  <si>
    <t>EW GRD X: 1008NS/1008RS;</t>
  </si>
  <si>
    <t>1008X3</t>
  </si>
  <si>
    <t xml:space="preserve"> GRD X: 1008X3/1005RS; Grade X</t>
  </si>
  <si>
    <t xml:space="preserve">OVERWEIGHT_x0009__x0009__x0009_</t>
  </si>
  <si>
    <t>EW GRD X: 1008N2/205YP2;</t>
  </si>
  <si>
    <t>GRD X: 1008N2/1005RS; RAD GX</t>
  </si>
  <si>
    <t>1009N2</t>
  </si>
  <si>
    <t xml:space="preserve">OVERWEIGHT_x0009__x0009_       </t>
  </si>
  <si>
    <t xml:space="preserve">GRD X: 1009N2/106A65; </t>
  </si>
  <si>
    <t>106A65</t>
  </si>
  <si>
    <t>Width Variation 66" to 57" in Bar. -Tundish Diffuser Alarm    -   GRD X: 1019RS/1020NR;</t>
  </si>
  <si>
    <t xml:space="preserve">NARROW - HOT MILL_x0009__x0009_</t>
  </si>
  <si>
    <t xml:space="preserve">HOLD PENDING CHEM TEST_x0009_      </t>
  </si>
  <si>
    <t>Width variation in Bar 66" to 59".   - WV  GRD X: 1019RS/1020NR;</t>
  </si>
  <si>
    <t>GRD X: 1008X4/106Z61; NP Grade X</t>
  </si>
  <si>
    <t>106Z65</t>
  </si>
  <si>
    <t xml:space="preserve">HOT MILL EXCESS_x0009__x0009_  </t>
  </si>
  <si>
    <t>1522B3</t>
  </si>
  <si>
    <t xml:space="preserve"> GRD X: 1522B3/1020NR; RADGX</t>
  </si>
  <si>
    <t xml:space="preserve">CASTER WIDTH MOVE IN BAR_x0009_ </t>
  </si>
  <si>
    <t xml:space="preserve">Width Move; 58" to 55"_x0009_</t>
  </si>
  <si>
    <t xml:space="preserve">Width Move  60" to 58"  </t>
  </si>
  <si>
    <t xml:space="preserve">GAUGE VARIATION_x0009__x0009_</t>
  </si>
  <si>
    <t>water getting by whole bar  -Mold Level Fluctuation  -Tundish Diffuser Alarm</t>
  </si>
  <si>
    <t>-Mold Level Fluctuation_x0009_ - GRD X: 105N2R/7059A3; RAD GX</t>
  </si>
  <si>
    <t>1020NR</t>
  </si>
  <si>
    <t xml:space="preserve">UNDERWEIGHT_x0009__x0009__x0009_</t>
  </si>
  <si>
    <t xml:space="preserve">COIL REFERRED TO SALES        </t>
  </si>
  <si>
    <t xml:space="preserve">LAST BAR OF CAST SEQUENCE     </t>
  </si>
  <si>
    <t xml:space="preserve">  - EW</t>
  </si>
  <si>
    <t xml:space="preserve">OVERWEIGHT_x0009__x0009__x0009_  </t>
  </si>
  <si>
    <t>Cast Speed Change  -SR Erosion over Heat_x0009_ -  EW GRD X: 1005T2/1005T5;</t>
  </si>
  <si>
    <t xml:space="preserve">MISSING BANDS_x0009__x0009_       </t>
  </si>
  <si>
    <t xml:space="preserve">GRD X: 1008X3/1005T2;   - </t>
  </si>
  <si>
    <t xml:space="preserve">SEN LAMINATION_x0009__x0009_</t>
  </si>
  <si>
    <t>LONGITUDINAL CASTER CRACK/FOLD</t>
  </si>
  <si>
    <t>5" SEN LAMINATION @ 560' -  80 ft crop for sticker and long crack -lam top surface_x0009_-Failed Visual Inspection; long crack and sticker  -Failed Visual Inspection  -CASTER STICKER ALARM  -Tundish Diffuser Alarm-EW</t>
  </si>
  <si>
    <t xml:space="preserve">CHEM OUTSIDE SPEC LIMITS      </t>
  </si>
  <si>
    <t xml:space="preserve"> GRD X: 1005P2/1005RP;   - </t>
  </si>
  <si>
    <t xml:space="preserve">  - EW GRD X: G0137G/1006N4; Grade X</t>
  </si>
  <si>
    <t xml:space="preserve">PENDING MS CLEANLINESS REVIEW </t>
  </si>
  <si>
    <t>Lams  -Failed Visual Inspection  -Rinse Flow Rate High    -</t>
  </si>
  <si>
    <t xml:space="preserve">OVERWEIGHT _x0009__x0009_   </t>
  </si>
  <si>
    <t xml:space="preserve">GRD X: 106A65/205YP2;    - </t>
  </si>
  <si>
    <t>lams  . -Failed Visual Inspection  -Rinse Flow Rate High    -</t>
  </si>
  <si>
    <t xml:space="preserve">UNDERWEIGHT_x0009__x0009__x0009_ </t>
  </si>
  <si>
    <t xml:space="preserve">COIL REFERRED TO SALES_x0009_</t>
  </si>
  <si>
    <t>8230A1</t>
  </si>
  <si>
    <t xml:space="preserve"> GRD X: 4344A4/8230A1;</t>
  </si>
  <si>
    <t>1009RS</t>
  </si>
  <si>
    <t>EW</t>
  </si>
  <si>
    <t xml:space="preserve">HM OPER HOLD VIA LEVEL 2_x0009_</t>
  </si>
  <si>
    <t xml:space="preserve">COILING TEMP VARIATION_x0009_</t>
  </si>
  <si>
    <t>GRD X: 1009N2/205YP2; Prime GX</t>
  </si>
  <si>
    <t xml:space="preserve"> GRD X: 1009N2/205YP2; Prime GX</t>
  </si>
  <si>
    <t>205YP2</t>
  </si>
  <si>
    <t>Check For Hot Shortness    -  GRD X: 1009N2/205YP2; Prime GX</t>
  </si>
  <si>
    <t>G0137G</t>
  </si>
  <si>
    <t xml:space="preserve"> GRD X: G0137G/1006N4;  </t>
  </si>
  <si>
    <t xml:space="preserve">OVERWEIGHT_x0009__x0009__x0009_ </t>
  </si>
  <si>
    <t xml:space="preserve"> GRD X: 1005N4/1006N2;  Bar</t>
  </si>
  <si>
    <t xml:space="preserve">NARROW - HOT MILL_x0009_       </t>
  </si>
  <si>
    <t xml:space="preserve">PASS THRU MODE_x0009__x0009_     </t>
  </si>
  <si>
    <t xml:space="preserve">Low Shroud Argon Flow    -    - </t>
  </si>
  <si>
    <t xml:space="preserve">FINISHING TEMP VARIATION_x0009_</t>
  </si>
  <si>
    <t xml:space="preserve"> EW</t>
  </si>
  <si>
    <t xml:space="preserve"> </t>
  </si>
  <si>
    <t xml:space="preserve">YIELD STRENGTH - HIGH_x0009_     </t>
  </si>
  <si>
    <t xml:space="preserve">WIDTH VARIATION_x0009__x0009_    </t>
  </si>
  <si>
    <t xml:space="preserve"> WV GRD X: 106A65/1006N2;   - _x0009_ -    - </t>
  </si>
  <si>
    <t xml:space="preserve">CASTER WIDTH MOVE IN BAR_x0009_    </t>
  </si>
  <si>
    <t xml:space="preserve">HOLD PENDING CHEM TEST_x0009_   </t>
  </si>
  <si>
    <t xml:space="preserve">Rinse Flow Rate High  -Cast Speed Change  -Rinse Time Low    - GRD X: 106A65/1006N2;   - </t>
  </si>
  <si>
    <t>105N4R</t>
  </si>
  <si>
    <t xml:space="preserve">GAUGE VARIATION_x0009__x0009_  </t>
  </si>
  <si>
    <t xml:space="preserve"> gauge variation (see attached estimated gauge)    -  EW GRD X: 106A65/105N4R; Grade X</t>
  </si>
  <si>
    <t xml:space="preserve">HRPO  </t>
  </si>
  <si>
    <t xml:space="preserve">OILED </t>
  </si>
  <si>
    <t xml:space="preserve">TOTAL ELONGATION - LOW_x0009_     </t>
  </si>
  <si>
    <t xml:space="preserve">EDGE WAVE - HR/P&amp;O_x0009_     </t>
  </si>
  <si>
    <t xml:space="preserve">CAMBER - HR/P&amp;O_x0009__x0009_    </t>
  </si>
  <si>
    <t xml:space="preserve">MET TEST SAMPLE TAKEN_x0009_   </t>
  </si>
  <si>
    <t xml:space="preserve">MET TEST SAMPLE TAKEN_x0009_      </t>
  </si>
  <si>
    <t xml:space="preserve">BRUISE:_x0009_HOT MILL_x0009_     </t>
  </si>
  <si>
    <t xml:space="preserve">Low Shroud Argon Flow  -Profile Ridge Detected   - _x0009_ - </t>
  </si>
  <si>
    <t xml:space="preserve"> GRD X: 106Z55/1008X4;</t>
  </si>
  <si>
    <t xml:space="preserve">OSCILLATED COIL_x0009__x0009_ </t>
  </si>
  <si>
    <t xml:space="preserve">UNDERWEIGHT_x0009__x0009_      </t>
  </si>
  <si>
    <t xml:space="preserve">PL TRIMMED TOO NARROW _x0009_</t>
  </si>
  <si>
    <t>SR Clogging over Heat_x0009_-Cast Speed Change</t>
  </si>
  <si>
    <t>Cast Speed Change</t>
  </si>
  <si>
    <t xml:space="preserve">MET TEST SAMPLE TAKEN_x0009_     </t>
  </si>
  <si>
    <t xml:space="preserve">EDGE TRIM DUE TO HM RAN WIDE  </t>
  </si>
  <si>
    <t xml:space="preserve">EDGE WAVE - HR/P&amp;O _x0009_   </t>
  </si>
  <si>
    <t>LOCATED AT STEEL TECH DECATUR, AL</t>
  </si>
  <si>
    <t xml:space="preserve">TENSILE STRENGTH - HIGH_x0009_   </t>
  </si>
  <si>
    <t xml:space="preserve">TOTAL ELONGATION - LOW_x0009_  </t>
  </si>
  <si>
    <t xml:space="preserve">HARDNESS - HIGH_x0009__x0009_ </t>
  </si>
  <si>
    <t xml:space="preserve">TENSILE STRENGTH - HIGH_x0009_     </t>
  </si>
  <si>
    <t xml:space="preserve">TOTAL ELONGATION - LOW_x0009_    </t>
  </si>
  <si>
    <t xml:space="preserve">HARDNESS - HIGH_x0009__x0009_   </t>
  </si>
  <si>
    <t xml:space="preserve">POOR SIDE TRIM_x0009__x0009_</t>
  </si>
  <si>
    <t>Profile Ridge Detected</t>
  </si>
  <si>
    <t xml:space="preserve">CHIPPED KNIFE_x0009__x0009_ </t>
  </si>
  <si>
    <t xml:space="preserve">YIELD STRENGTH - LOW_x0009_   </t>
  </si>
  <si>
    <t xml:space="preserve">MET TEST SAMPLE TAKEN_x0009_ </t>
  </si>
  <si>
    <t xml:space="preserve">STAGGER WRAPS _x0009__x0009_</t>
  </si>
  <si>
    <t xml:space="preserve">MET REFERRAL_x0009__x0009_       </t>
  </si>
  <si>
    <t xml:space="preserve">YIELD STRENGTH - LOW_x0009__x0009_</t>
  </si>
  <si>
    <t xml:space="preserve">MET TEST SAMPLE TAKEN_x0009_       </t>
  </si>
  <si>
    <t xml:space="preserve">YIELD STRENGTH - LOW _x0009_ </t>
  </si>
  <si>
    <t>Low Shroud Argon Flow</t>
  </si>
  <si>
    <t xml:space="preserve">default hold code-return coil </t>
  </si>
  <si>
    <t xml:space="preserve">PITTING_x0009__x0009__x0009_</t>
  </si>
  <si>
    <t>PITTING</t>
  </si>
  <si>
    <t>105N2R</t>
  </si>
  <si>
    <t xml:space="preserve">EDGE WAVE - HR/P&amp;O_x0009_    </t>
  </si>
  <si>
    <t xml:space="preserve">CAMBER - HR/P&amp;O_x0009__x0009_   </t>
  </si>
  <si>
    <t xml:space="preserve">CR    </t>
  </si>
  <si>
    <t xml:space="preserve">CARBON EDGE - ANNEAL_x0009_   </t>
  </si>
  <si>
    <t>CARBON EDGES AFFECTING 0.75" PER EDGE.  -PROFILE RIDGE DETECTED</t>
  </si>
  <si>
    <t xml:space="preserve">TANDEM MILL ROLL MARK_x0009_    </t>
  </si>
  <si>
    <t>LIGHT WRINKLE ROLL MARKS ALONG THE COIL. ._x0009__x0009__x0009__x0009__x0009_     TA ROLL MARK OP SIDE</t>
  </si>
  <si>
    <t xml:space="preserve">RUST : SPECKLED_x0009__x0009_    </t>
  </si>
  <si>
    <t>SPECKLED RUST</t>
  </si>
  <si>
    <t>SOLUTION STAIN CARRYOVER-TANDM</t>
  </si>
  <si>
    <t xml:space="preserve">PL TRIMMED TOO NARROW_x0009_   </t>
  </si>
  <si>
    <t xml:space="preserve">CARBON EDGE - ANNEAL_x0009_    </t>
  </si>
  <si>
    <t xml:space="preserve">   LIGHT CARBON EDGE DRIVE SIDE</t>
  </si>
  <si>
    <t xml:space="preserve">ANNEAL DISCOLORATION - BLUE   </t>
  </si>
  <si>
    <t xml:space="preserve">GRD X: 1005T2/1005T4; GRADE X   -ANNEAL STAIN   </t>
  </si>
  <si>
    <t xml:space="preserve">LAMINATIONS _x0009__x0009_  </t>
  </si>
  <si>
    <t>CARBON EDGES AFFECTING 2" PER EDGE AND SMALL SOLUTION STAINS</t>
  </si>
  <si>
    <t xml:space="preserve">LAMINATIONS_x0009__x0009_   </t>
  </si>
  <si>
    <t>LOW SHROUD ARGON FLOW   -</t>
  </si>
  <si>
    <t>CARBON EDGES  ._x0009__x0009__x0009__x0009__x0009_  LAMINATION/CARBON EDGE   -</t>
  </si>
  <si>
    <t xml:space="preserve">CARBON EDGE - ANNEAL_x0009_      </t>
  </si>
  <si>
    <t>CARBON EDGE/LAMINATION   -</t>
  </si>
  <si>
    <t xml:space="preserve">ROLL LINES _x0009__x0009_   </t>
  </si>
  <si>
    <t xml:space="preserve">BLISTERS - TANDEM MILL_x0009_  </t>
  </si>
  <si>
    <t>INCOMING ROLL LINES /BLISTER</t>
  </si>
  <si>
    <t xml:space="preserve">GAUGE - LIGHT - COLD MILL     </t>
  </si>
  <si>
    <t xml:space="preserve"> PREVIOUS HEAT-_x0009_TA CARRYOVER OP SIDE   -</t>
  </si>
  <si>
    <t xml:space="preserve">RUST : SPECKLED_x0009__x0009_     </t>
  </si>
  <si>
    <t xml:space="preserve">UNDERWEIGHT_x0009__x0009_    </t>
  </si>
  <si>
    <t>SPECKLED RUST. HEAD WAS CUT WITH TORCH.RUST SPECKLED   -   -</t>
  </si>
  <si>
    <t xml:space="preserve">COIL REFERRED TO SALES_x0009_  </t>
  </si>
  <si>
    <t>CARBON EDGES AFFECTING UP TO 0.75" PER EDGE  CAN BE GOOD FOR SLIT OR  SIDETRIM  UNDER 45"._x0009__x0009__x0009_  CARBON EDGE   -</t>
  </si>
  <si>
    <t xml:space="preserve">CARBON EDGE - ANNEAL_x0009__x0009_</t>
  </si>
  <si>
    <t>CARBON EDGES AFFECTING UP TO 1.5" PER EDGE  ._x0009_  CARBON EDGE BOTH EDGES   -</t>
  </si>
  <si>
    <t xml:space="preserve">RUST : SPECKLED_x0009__x0009_   </t>
  </si>
  <si>
    <t>SPECKLED RUST   .  -</t>
  </si>
  <si>
    <t xml:space="preserve">CARBON SMUT - ANNEAL_x0009_  </t>
  </si>
  <si>
    <t xml:space="preserve">GAUGE - LIGHT - COLD MILL_x0009_</t>
  </si>
  <si>
    <t xml:space="preserve">EDGE WAVE - COLD MILL_x0009_       </t>
  </si>
  <si>
    <t xml:space="preserve">QUARTER BUCKLE - COLD MILL    </t>
  </si>
  <si>
    <t>CARBON EDGE AFFECTING 1" PER EDGE AND BAD SHAPE AFFECTING 22" OF THE WIDTH OF THE COIL.   -</t>
  </si>
  <si>
    <t xml:space="preserve">RUST : SPECKLED _x0009_      </t>
  </si>
  <si>
    <t>RUST SPECKLES   -</t>
  </si>
  <si>
    <t xml:space="preserve">RUST : SPECKLED_x0009__x0009_</t>
  </si>
  <si>
    <t>GRD X: 106Z61/106Z55;   -   -   -   -   -_x0009_ -</t>
  </si>
  <si>
    <t xml:space="preserve"> RUST SPECKLES ON ROLL OUT LAP </t>
  </si>
  <si>
    <t>LOW SHROUD ARGON FLOW-RINSE TIME LOW-SOLUTION STAIN OP SIDE   -</t>
  </si>
  <si>
    <t>ABUNDANT  LARGE AND SEVERE STAINS MOST OF THE COIL. -LOW SHROUD ARGON FLOW  -RINSE TIME LOW_x0009__x0009__x0009__x0009_       SOLUTION STAIN OP SIDE   -</t>
  </si>
  <si>
    <t xml:space="preserve">RUST : SPECKLED_x0009_       </t>
  </si>
  <si>
    <t>SPECKLED RUST  . -PROFILE RIDGE DETECTED</t>
  </si>
  <si>
    <t xml:space="preserve">MECH PROPS VARIATION_x0009__x0009_</t>
  </si>
  <si>
    <t xml:space="preserve">HARDNESS - HIGH_x0009_       </t>
  </si>
  <si>
    <t xml:space="preserve">GAUGE - HEAVY - COLD MILL     </t>
  </si>
  <si>
    <t xml:space="preserve">UNDERWEIGHT_x0009__x0009_     </t>
  </si>
  <si>
    <t>solution stains lams   -</t>
  </si>
  <si>
    <t xml:space="preserve">RUST - DRY - NO OIL_x0009_       </t>
  </si>
  <si>
    <t xml:space="preserve">YIELD STRENGTH - LOW_x0009_      </t>
  </si>
  <si>
    <t xml:space="preserve">LAMINATIONS_x0009__x0009_       </t>
  </si>
  <si>
    <t>GRADE X _x0009__x0009__x0009__x0009_  LAMINATION   -</t>
  </si>
  <si>
    <t xml:space="preserve">CRFH  </t>
  </si>
  <si>
    <t>SEVERE LARGE SOLUTION STAINS ALONG THE COIL. -RINSE FLOW RATE HIGH  -SR CLOGGING  -PROFILE RIDGE DETECTED_x0009_TA SOLUTION STAIN/LAMINATION</t>
  </si>
  <si>
    <t>CENTER BUCKLE/FULL CTR -C MILL</t>
  </si>
  <si>
    <t>SEVERE BUCKLE ALL ALONG THE COIL     . _x0009__x0009__x0009__x0009_   BAD INCOMING SHAPE</t>
  </si>
  <si>
    <t>1007N9</t>
  </si>
  <si>
    <t xml:space="preserve">GAUGE VARIATION - HOT MILL_x0009_ </t>
  </si>
  <si>
    <t>Can not trust on gauge  chart. ID approx. 0.0650" and OD approx. 0.0760.  - GRD X: 1007N9/1005N6; Grade X_x0009_       GAUGE VARIATION THROUGHOUT COIL</t>
  </si>
  <si>
    <t xml:space="preserve">RMFH  </t>
  </si>
  <si>
    <t xml:space="preserve">COLD MILL ROLL MARK_x0009__x0009_ </t>
  </si>
  <si>
    <t>Roll lines - -Late Arcing/Alloying  -Rinse Time Low</t>
  </si>
  <si>
    <t xml:space="preserve">TANDEM MILL ROLL MARK_x0009_ </t>
  </si>
  <si>
    <t>Roll marks (attached)</t>
  </si>
  <si>
    <t>Roll marks (attached). - -Profile Ridge Detected</t>
  </si>
  <si>
    <t xml:space="preserve">TORN EDGES (HOLES)_x0009__x0009_ </t>
  </si>
  <si>
    <t xml:space="preserve">SAWTOOTH EDGES_x0009__x0009_</t>
  </si>
  <si>
    <t>Pictures are attached.</t>
  </si>
  <si>
    <t>1001H6</t>
  </si>
  <si>
    <t xml:space="preserve">PL TRIMMED TOO NARROW_x0009_ </t>
  </si>
  <si>
    <t xml:space="preserve">CM WIDE-GAP TAIL AUTO_x0009_       </t>
  </si>
  <si>
    <t xml:space="preserve">COLD MILL ROLL MARK_x0009__x0009_</t>
  </si>
  <si>
    <t>CM EXCESS OFF-GAUGE -HEAD AUTO</t>
  </si>
  <si>
    <t>Roll marks (attached) - -Tundish Preheat &gt; 240 Min    - EW</t>
  </si>
  <si>
    <t xml:space="preserve">PL TRIMMED TOO_x0009_WIDE_x0009_      </t>
  </si>
  <si>
    <t xml:space="preserve">ROLLED-IN-DEBRIS - TANDEM_x0009_</t>
  </si>
  <si>
    <t xml:space="preserve">TANDEM MILL PICK-UP (SKID)_x0009_</t>
  </si>
  <si>
    <t xml:space="preserve">TANDEM MILL PICK-UP (SKID)    </t>
  </si>
  <si>
    <t>-Low Shroud Argon Flow</t>
  </si>
  <si>
    <t xml:space="preserve">SANDY EDGES_x0009__x0009__x0009_ </t>
  </si>
  <si>
    <t>Photos are attached.</t>
  </si>
  <si>
    <t xml:space="preserve">GAUGE - HEAVY - COLD MILL_x0009_</t>
  </si>
  <si>
    <t>Coil was not cold rolled. -Rinse Time Low</t>
  </si>
  <si>
    <t xml:space="preserve">GA    </t>
  </si>
  <si>
    <t xml:space="preserve">A60_x0009_     </t>
  </si>
  <si>
    <t xml:space="preserve">RoHS CT </t>
  </si>
  <si>
    <t xml:space="preserve">UNDER-ALLOYED GA_x0009__x0009_    </t>
  </si>
  <si>
    <t xml:space="preserve">HEAT CREASES_x0009__x0009_   </t>
  </si>
  <si>
    <t>Profile Ridge Detected_x0009_ -</t>
  </si>
  <si>
    <t xml:space="preserve">A60       </t>
  </si>
  <si>
    <t xml:space="preserve">UNDER-ALLOYED GA _x0009_     </t>
  </si>
  <si>
    <t xml:space="preserve">A40_x0009_    </t>
  </si>
  <si>
    <t xml:space="preserve">CT      </t>
  </si>
  <si>
    <t xml:space="preserve">SCRATCHES_x0009__x0009__x0009_   </t>
  </si>
  <si>
    <t xml:space="preserve">ROLLED IN SCALE w/BLACK_x0009_  </t>
  </si>
  <si>
    <t>Low Shroud Argon Flow  -Profile Ridge Detected   -</t>
  </si>
  <si>
    <t xml:space="preserve">A25_x0009_    </t>
  </si>
  <si>
    <t xml:space="preserve">None    </t>
  </si>
  <si>
    <t xml:space="preserve">PUP DUE TO SURFACE DEFECT_x0009_   </t>
  </si>
  <si>
    <t xml:space="preserve">GA IRON ALLOY VARIATION_x0009_  </t>
  </si>
  <si>
    <t xml:space="preserve">DRY ON OILED ORDER_x0009__x0009_ </t>
  </si>
  <si>
    <t>Rinse Time Low  -SR Erosion over Previous Heat        bad incoming shape_x0009_ -   -</t>
  </si>
  <si>
    <t xml:space="preserve">A40       </t>
  </si>
  <si>
    <t xml:space="preserve">LOW METALLIC COATING_x0009_     </t>
  </si>
  <si>
    <t xml:space="preserve">COIL REFERRED TO SALES_x0009_    </t>
  </si>
  <si>
    <t xml:space="preserve">UNDERWEIGHT_x0009__x0009_   </t>
  </si>
  <si>
    <t xml:space="preserve">A40_x0009_     </t>
  </si>
  <si>
    <t xml:space="preserve">CHEM TREAT STAINS/SPOTS_x0009_    </t>
  </si>
  <si>
    <t>Weight  (Ripped Tail) medium bruise dr side  -Profile Ridge Detected_x0009_Weight_x0009_ -</t>
  </si>
  <si>
    <t xml:space="preserve"> Weight  (Ripped Tail) medium bruise dr side  -Profile Ridge Detected_x0009_Weight_x0009_ -</t>
  </si>
  <si>
    <t xml:space="preserve">SURFACE TREATMENT - HIGH_x0009_   </t>
  </si>
  <si>
    <t xml:space="preserve">A30_x0009_ </t>
  </si>
  <si>
    <t xml:space="preserve">None_x0009_  </t>
  </si>
  <si>
    <t>WRONG GALV TEMP/TEMP VARIATION</t>
  </si>
  <si>
    <t>Tundish Preheat &gt; 240 Min   -   -</t>
  </si>
  <si>
    <t xml:space="preserve">A40_x0009_ </t>
  </si>
  <si>
    <t xml:space="preserve">LOW METALLIC COATING_x0009__x0009_</t>
  </si>
  <si>
    <t xml:space="preserve">GA IRON ALLOY VARIATION       </t>
  </si>
  <si>
    <t>Profile Ridge Detected    - GRD X: 1004RB/1005RS;-YW.   -</t>
  </si>
  <si>
    <t xml:space="preserve">A30       </t>
  </si>
  <si>
    <t xml:space="preserve">GA IRON ALLOY VARIATION_x0009_    </t>
  </si>
  <si>
    <t xml:space="preserve">A25_x0009_  </t>
  </si>
  <si>
    <t xml:space="preserve">UNDER-ALLOYED EDGE(S)- GA_x0009_ </t>
  </si>
  <si>
    <t>Rinse Time Low  -Rinse Flow Rate High  -SR Erosion over Previous Heat   -   -</t>
  </si>
  <si>
    <t xml:space="preserve">YIELD STRENGTH - HIGH _x0009_</t>
  </si>
  <si>
    <t xml:space="preserve">ROHS MARKS/SPOTS _x0009_     </t>
  </si>
  <si>
    <t>R/C</t>
  </si>
  <si>
    <t>MIXED ALLOY GA/GI ZINC COATING</t>
  </si>
  <si>
    <t xml:space="preserve">TOP TURN ROLL PICK-UP_x0009_    </t>
  </si>
  <si>
    <t xml:space="preserve">METALLIC COATING SCRATCHES    </t>
  </si>
  <si>
    <t>Profile Ridge Detected   -</t>
  </si>
  <si>
    <t xml:space="preserve">LOW METALLIC COATING_x0009_    </t>
  </si>
  <si>
    <t xml:space="preserve"> Profile Ridge Detected   -</t>
  </si>
  <si>
    <t xml:space="preserve">TANDEM MILL ROLL MARK_x0009_     </t>
  </si>
  <si>
    <t xml:space="preserve"> GRD X: 1004RT/1005RS; Grade X   -</t>
  </si>
  <si>
    <t xml:space="preserve">CHEM TREAT STAINS/SPOTS_x0009_     </t>
  </si>
  <si>
    <t xml:space="preserve">SURFACE TREATMENT - LOW_x0009_    </t>
  </si>
  <si>
    <t xml:space="preserve">SLOW RUN_x0009__x0009__x0009_</t>
  </si>
  <si>
    <t xml:space="preserve">A30_x0009_   </t>
  </si>
  <si>
    <t xml:space="preserve">SLOW RUN_x0009__x0009__x0009_  </t>
  </si>
  <si>
    <t xml:space="preserve">TOP TURN ROLL PICK-UP_x0009_ </t>
  </si>
  <si>
    <t xml:space="preserve">A30_x0009_  </t>
  </si>
  <si>
    <t xml:space="preserve">TENSILE STRENGTH - LOW_x0009_ </t>
  </si>
  <si>
    <t xml:space="preserve">A30_x0009_</t>
  </si>
  <si>
    <t xml:space="preserve">None_x0009_ </t>
  </si>
  <si>
    <t xml:space="preserve">TENSILE STRENGTH - LOW        </t>
  </si>
  <si>
    <t xml:space="preserve">SCRATCHES_x0009__x0009_     </t>
  </si>
  <si>
    <t xml:space="preserve"> R/C   -</t>
  </si>
  <si>
    <t xml:space="preserve">TOTAL ELONGATION - LOW        </t>
  </si>
  <si>
    <t xml:space="preserve">YIELD STRENGTH - HIGH_x0009_      </t>
  </si>
  <si>
    <t xml:space="preserve"> Profile Ridge Detected   -_x0009_ -   -</t>
  </si>
  <si>
    <t xml:space="preserve">FREEZE LINE_x0009__x0009_     </t>
  </si>
  <si>
    <t xml:space="preserve">WRAPPED WELD/STITCH_x0009_    </t>
  </si>
  <si>
    <t xml:space="preserve">LINE STOP_x0009__x0009__x0009_   </t>
  </si>
  <si>
    <t>R/C   -</t>
  </si>
  <si>
    <t xml:space="preserve">SCALE : PRIMARY_x0009__x0009_ </t>
  </si>
  <si>
    <t>R/C   -   -</t>
  </si>
  <si>
    <t xml:space="preserve">TENSILE STRENGTH - LOW_x0009_</t>
  </si>
  <si>
    <t>R/C   -   -   -</t>
  </si>
  <si>
    <t xml:space="preserve">A30_x0009_    </t>
  </si>
  <si>
    <t xml:space="preserve">SCALE : PRIMARY_x0009__x0009_   </t>
  </si>
  <si>
    <t xml:space="preserve">TOP TURN ROLL PICK-UP_x0009_  </t>
  </si>
  <si>
    <t xml:space="preserve">TOP TURN ROLL PICK-UP_x0009_       </t>
  </si>
  <si>
    <t xml:space="preserve">A40_x0009_  </t>
  </si>
  <si>
    <t xml:space="preserve">LINE STOP_x0009__x0009__x0009_ </t>
  </si>
  <si>
    <t xml:space="preserve">LVL2 MISSING ZINC COAT TRACE  </t>
  </si>
  <si>
    <t xml:space="preserve">GI    </t>
  </si>
  <si>
    <t xml:space="preserve">G40_x0009_  </t>
  </si>
  <si>
    <t xml:space="preserve">CT_x0009_   </t>
  </si>
  <si>
    <t xml:space="preserve">EDGE BUILD UP_x0009__x0009_ </t>
  </si>
  <si>
    <t xml:space="preserve"> Profile Ridge Detected   -   -</t>
  </si>
  <si>
    <t xml:space="preserve">G40       </t>
  </si>
  <si>
    <t xml:space="preserve">BELLED EDGE - COLD MILL_x0009_     </t>
  </si>
  <si>
    <t xml:space="preserve">OVERWIDTH CM_x0009__x0009_    </t>
  </si>
  <si>
    <t xml:space="preserve">G40_x0009_</t>
  </si>
  <si>
    <t xml:space="preserve">OVER WIDTH - GALV LINE        </t>
  </si>
  <si>
    <t xml:space="preserve">G40_x0009_   </t>
  </si>
  <si>
    <t xml:space="preserve"> SR Clogging over Previous Heat_x0009_ -   -   -</t>
  </si>
  <si>
    <t>SR Clogging over Previous Heat_x0009_  - EW   -_x0009_ -</t>
  </si>
  <si>
    <t>Cast Speed Change  -Low Shroud Argon Flow    - EW    -   -</t>
  </si>
  <si>
    <t xml:space="preserve"> SR Clogging over Previous Heat_x0009_ -    -_x0009_ -</t>
  </si>
  <si>
    <t>SR Clogging over Previous Heat_x0009_ -    -_x0009_ -</t>
  </si>
  <si>
    <t xml:space="preserve">G100_x0009_   </t>
  </si>
  <si>
    <t xml:space="preserve">CT_x0009_    </t>
  </si>
  <si>
    <t xml:space="preserve">DROSS FLOATER_x0009__x0009_  </t>
  </si>
  <si>
    <t xml:space="preserve">WAVY EDGE (INDUCED)_x0009__x0009_ </t>
  </si>
  <si>
    <t xml:space="preserve">PUP DUE TO SURFACE DEFECT_x0009_</t>
  </si>
  <si>
    <t>1020RS</t>
  </si>
  <si>
    <t xml:space="preserve">G165_x0009_  </t>
  </si>
  <si>
    <t xml:space="preserve">METALLIC COATING SCRATCHES_x0009_ </t>
  </si>
  <si>
    <t>WARMER COIL-START UP/SHUT DOWN</t>
  </si>
  <si>
    <t xml:space="preserve">DENTS-INDUCED_x0009__x0009_      </t>
  </si>
  <si>
    <t xml:space="preserve">COIL WEIGHTS - ENTRY ERROR_x0009_ </t>
  </si>
  <si>
    <t xml:space="preserve">G40_x0009_ </t>
  </si>
  <si>
    <t>TRANSITION COIL - ANNEAL TO FH</t>
  </si>
  <si>
    <t xml:space="preserve">LINE STOP_x0009__x0009_       </t>
  </si>
  <si>
    <t xml:space="preserve">FREEZE LINE_x0009__x0009_      </t>
  </si>
  <si>
    <t xml:space="preserve"> -      - EW   -</t>
  </si>
  <si>
    <t xml:space="preserve">FREEZE LINE_x0009__x0009_       </t>
  </si>
  <si>
    <t xml:space="preserve">LINE STOP_x0009__x0009_      </t>
  </si>
  <si>
    <t>TRANSITION COIL - SCM ROLL CHG</t>
  </si>
  <si>
    <t xml:space="preserve">G60_x0009_  </t>
  </si>
  <si>
    <t xml:space="preserve">BARE SPOTS_x0009__x0009__x0009_ </t>
  </si>
  <si>
    <t xml:space="preserve">G165_x0009_ </t>
  </si>
  <si>
    <t xml:space="preserve">CT_x0009_  </t>
  </si>
  <si>
    <t xml:space="preserve">G165_x0009_    </t>
  </si>
  <si>
    <t xml:space="preserve">LOW METALLIC COATING_x0009_   </t>
  </si>
  <si>
    <t xml:space="preserve">FEATHERING_x0009__x0009__x0009_ </t>
  </si>
  <si>
    <t>TRANSITION COIL - FH TO ANNEAL</t>
  </si>
  <si>
    <t xml:space="preserve">G60_x0009_</t>
  </si>
  <si>
    <t xml:space="preserve">CT_x0009_ </t>
  </si>
  <si>
    <t xml:space="preserve">EDGE BUILD UP_x0009__x0009_       </t>
  </si>
  <si>
    <t xml:space="preserve">G60_x0009_ </t>
  </si>
  <si>
    <t xml:space="preserve">G60       </t>
  </si>
  <si>
    <t xml:space="preserve">COIL BREAKS_x0009__x0009_     </t>
  </si>
  <si>
    <t xml:space="preserve"> GRD X: 1004RB/1005RS;   -</t>
  </si>
  <si>
    <t xml:space="preserve">G115_x0009_   </t>
  </si>
  <si>
    <t xml:space="preserve">KNIFE CLEANING LINES _x0009_ </t>
  </si>
  <si>
    <t xml:space="preserve">FEATHERING_x0009__x0009__x0009_</t>
  </si>
  <si>
    <t xml:space="preserve"> Tundish Diffuser Alarm   -   -</t>
  </si>
  <si>
    <t xml:space="preserve">TENSILE STRENGTH - LOW_x0009_  </t>
  </si>
  <si>
    <t xml:space="preserve">BARE EDGES (SALT &amp; PEPPER)_x0009_</t>
  </si>
  <si>
    <t xml:space="preserve">G115_x0009_  </t>
  </si>
  <si>
    <t xml:space="preserve">A95 scratch cracks sev 0-1    </t>
  </si>
  <si>
    <t xml:space="preserve"> Tundish Diffuser Alarm   -_x0009_ -</t>
  </si>
  <si>
    <t xml:space="preserve">G115      </t>
  </si>
  <si>
    <t xml:space="preserve">DROSS FLOATER_x0009__x0009_     </t>
  </si>
  <si>
    <t xml:space="preserve">DENTS-INDUCED_x0009__x0009_    </t>
  </si>
  <si>
    <t>1005N6</t>
  </si>
  <si>
    <t>Rinse Time Low  -SR Erosion over Previous Heat   -   -</t>
  </si>
  <si>
    <t xml:space="preserve">JOURNEY LINES (WIDENING OUT)  </t>
  </si>
  <si>
    <t xml:space="preserve">DROSS STREAKS/SPOTS_x0009__x0009_ </t>
  </si>
  <si>
    <t>SR Erosion over Previous Heat  -Rinse Time Low  -Cast Speed Change_x0009_ -   -</t>
  </si>
  <si>
    <t>HEAVY METALLIC COATING -OVR CT</t>
  </si>
  <si>
    <t xml:space="preserve">None_x0009_</t>
  </si>
  <si>
    <t>SR Erosion over Heat  -Profile Ridge Detected   -_x0009_ -</t>
  </si>
  <si>
    <t xml:space="preserve">G40_x0009_     </t>
  </si>
  <si>
    <t xml:space="preserve">YIELD STRENGTH - HIGH_x0009_    </t>
  </si>
  <si>
    <t xml:space="preserve"> temp variation   -</t>
  </si>
  <si>
    <t xml:space="preserve">SLOW RUN _x0009__x0009_     </t>
  </si>
  <si>
    <t xml:space="preserve">G100_x0009_  </t>
  </si>
  <si>
    <t xml:space="preserve">PINCH MARKS_x0009__x0009__x0009_ </t>
  </si>
  <si>
    <t xml:space="preserve">DENTS-INDUCED _x0009__x0009_</t>
  </si>
  <si>
    <t>GRD X: 7060A0/7078A3;   -_x0009_ -   -   -</t>
  </si>
  <si>
    <t>Low Shroud Argon Flow   -_x0009_ -   -</t>
  </si>
  <si>
    <t xml:space="preserve">TANDEM MILL BRUISE_x0009__x0009_ </t>
  </si>
  <si>
    <t>Profile Ridge Detected   -   -</t>
  </si>
  <si>
    <t xml:space="preserve">YIELD STRENGTH - HIGH_x0009_ </t>
  </si>
  <si>
    <t xml:space="preserve">TENSILE STRENGTH - HIGH       </t>
  </si>
  <si>
    <t>Crop 60 ft HM OD for Sticker  . -Failed Visual Inspection  -CASTER STICKER ALARM_x0009_ - EW   -   -   -   -   -</t>
  </si>
  <si>
    <t xml:space="preserve">HARDNESS - HIGH_x0009__x0009_</t>
  </si>
  <si>
    <t xml:space="preserve">G30_x0009_  </t>
  </si>
  <si>
    <t xml:space="preserve">FREEZE LINE_x0009__x0009__x0009_ </t>
  </si>
  <si>
    <t xml:space="preserve">LINE STOP_x0009__x0009__x0009_</t>
  </si>
  <si>
    <t xml:space="preserve">SLOW RUN_x0009__x0009_       </t>
  </si>
  <si>
    <t xml:space="preserve"> -   -Mold Level Fluctuation_x0009_ -   -</t>
  </si>
  <si>
    <t xml:space="preserve">TANDEM MILL BRUISE_x0009_       </t>
  </si>
  <si>
    <t xml:space="preserve">TANDEM MILL BRUISE_x0009_      </t>
  </si>
  <si>
    <t xml:space="preserve">  TEMP VARIATION   -</t>
  </si>
  <si>
    <t xml:space="preserve">MET REFERRAL_x0009__x0009_    </t>
  </si>
  <si>
    <t xml:space="preserve">MILL TRIAL/PROD DEV_x0009_     </t>
  </si>
  <si>
    <t xml:space="preserve">TENSILE STRENGTH - HIGH_x0009_    </t>
  </si>
  <si>
    <t xml:space="preserve">TOTAL ELONGATION - LOW_x0009_   </t>
  </si>
  <si>
    <t xml:space="preserve"> EW GRD X: 1005N6/1007N9;   -   -   -</t>
  </si>
  <si>
    <t xml:space="preserve"> -   R/C   -_x0009_ -</t>
  </si>
  <si>
    <t xml:space="preserve">G40_x0009_    </t>
  </si>
  <si>
    <t xml:space="preserve">MILL TRIAL/PROD DEV_x0009_   </t>
  </si>
  <si>
    <t xml:space="preserve">TENSILE STRENGTH - HIGH_x0009_ </t>
  </si>
  <si>
    <t>EW GRD X: 1007N9/1005N6; Grade X   -   -   -</t>
  </si>
  <si>
    <t xml:space="preserve">A95 scratch cracks sev 0-1_x0009_ </t>
  </si>
  <si>
    <t>EW GRD X: 1007N9/1005N6; Grade X   -_x0009_ -   -   -</t>
  </si>
  <si>
    <t xml:space="preserve">YIELD STRENGTH - LOW_x0009_       </t>
  </si>
  <si>
    <t xml:space="preserve"> Low Shroud Argon Flow   -   -   -</t>
  </si>
  <si>
    <t xml:space="preserve">G90       </t>
  </si>
  <si>
    <t xml:space="preserve">LINE STOP_x0009__x0009_     </t>
  </si>
  <si>
    <t xml:space="preserve">SLOW RUN_x0009__x0009__x0009_    </t>
  </si>
  <si>
    <t xml:space="preserve">PINCH MARKS _x0009__x0009_  </t>
  </si>
  <si>
    <t xml:space="preserve">QUARTER BUCKLE_x0009__x0009_ </t>
  </si>
  <si>
    <t xml:space="preserve">OVERWIDTH CM_x0009__x0009__x0009_</t>
  </si>
  <si>
    <t xml:space="preserve"> -Profile Ridge Detected   -   -</t>
  </si>
  <si>
    <t xml:space="preserve">HRGI  </t>
  </si>
  <si>
    <t xml:space="preserve">G30       </t>
  </si>
  <si>
    <t xml:space="preserve">NOT CHEM TREATED_x0009__x0009_   </t>
  </si>
  <si>
    <t xml:space="preserve"> Low Shroud Argon Flow 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</si>
</sst>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2025" formatCode="_(* #,##0.00_);_(* \(#,##0.00\);_(* &quot;-&quot;??_);_(@_)"/>
    <numFmt numFmtId="2026" formatCode="0.000"/>
    <numFmt numFmtId="2027" formatCode="_(* #,##0_);_(* \(#,##0\);_(* &quot;-&quot;??_);_(@_)"/>
    <numFmt numFmtId="2028" formatCode="0.0"/>
    <numFmt numFmtId="2032" formatCode="_(&quot;$&quot;* #,##0.00_);_(&quot;$&quot;* \(#,##0.00\);_(&quot;$&quot;* &quot;-&quot;??_);_(@_)"/>
  </numFmts>
  <fonts count="19">
    <font>
      <b val="0"/>
      <i val="0"/>
      <sz val="11"/>
      <color theme="1"/>
      <name val="Aptos Narrow"/>
      <scheme val="minor"/>
    </font>
    <font>
      <b val="0"/>
      <i val="0"/>
      <sz val="11"/>
      <color theme="0"/>
      <name val="Aptos Narrow"/>
      <scheme val="minor"/>
    </font>
    <font>
      <b val="0"/>
      <i val="0"/>
      <sz val="11"/>
      <color rgb="FF9C0006"/>
      <name val="Aptos Narrow"/>
      <scheme val="minor"/>
    </font>
    <font>
      <b/>
      <i val="0"/>
      <sz val="11"/>
      <color rgb="FFFA7D00"/>
      <name val="Aptos Narrow"/>
      <scheme val="minor"/>
    </font>
    <font>
      <b/>
      <i val="0"/>
      <sz val="11"/>
      <color theme="0"/>
      <name val="Aptos Narrow"/>
      <scheme val="minor"/>
    </font>
    <font>
      <b val="0"/>
      <i/>
      <sz val="11"/>
      <color rgb="FF7F7F7F"/>
      <name val="Aptos Narrow"/>
      <scheme val="minor"/>
    </font>
    <font>
      <b val="0"/>
      <i val="0"/>
      <sz val="11"/>
      <color rgb="FF006100"/>
      <name val="Aptos Narrow"/>
      <scheme val="minor"/>
    </font>
    <font>
      <b/>
      <i val="0"/>
      <sz val="15"/>
      <color theme="3"/>
      <name val="Aptos Narrow"/>
      <scheme val="minor"/>
    </font>
    <font>
      <b/>
      <i val="0"/>
      <sz val="13"/>
      <color theme="3"/>
      <name val="Aptos Narrow"/>
      <scheme val="minor"/>
    </font>
    <font>
      <b/>
      <i val="0"/>
      <sz val="11"/>
      <color theme="3"/>
      <name val="Aptos Narrow"/>
      <scheme val="minor"/>
    </font>
    <font>
      <b val="0"/>
      <i val="0"/>
      <sz val="11"/>
      <color rgb="FF3F3F76"/>
      <name val="Aptos Narrow"/>
      <scheme val="minor"/>
    </font>
    <font>
      <b val="0"/>
      <i val="0"/>
      <sz val="11"/>
      <color rgb="FFFA7D00"/>
      <name val="Aptos Narrow"/>
      <scheme val="minor"/>
    </font>
    <font>
      <b val="0"/>
      <i val="0"/>
      <sz val="11"/>
      <color rgb="FF9C5700"/>
      <name val="Aptos Narrow"/>
      <scheme val="minor"/>
    </font>
    <font>
      <b/>
      <i val="0"/>
      <sz val="11"/>
      <color rgb="FF3F3F3F"/>
      <name val="Aptos Narrow"/>
      <scheme val="minor"/>
    </font>
    <font>
      <b val="0"/>
      <i val="0"/>
      <sz val="18"/>
      <color theme="3"/>
      <name val="Aptos Display"/>
      <scheme val="major"/>
    </font>
    <font>
      <b/>
      <i val="0"/>
      <sz val="11"/>
      <color theme="1"/>
      <name val="Aptos Narrow"/>
      <scheme val="minor"/>
    </font>
    <font>
      <b val="0"/>
      <i val="0"/>
      <sz val="11"/>
      <color rgb="FFFF0000"/>
      <name val="Aptos Narrow"/>
      <scheme val="minor"/>
    </font>
    <font>
      <b/>
      <i val="0"/>
      <sz val="11"/>
      <color theme="1"/>
      <name val="Calibri"/>
    </font>
    <font>
      <b/>
      <i val="0"/>
      <sz val="11"/>
      <color rgb="FFFF000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00B0F0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theme="4" tint="0.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0" fillId="2" borderId="0" applyBorder="0" applyNumberFormat="0" applyAlignment="0" applyProtection="0"/>
    <xf numFmtId="0" fontId="0" fillId="3" borderId="0" applyBorder="0" applyNumberFormat="0" applyAlignment="0" applyProtection="0"/>
    <xf numFmtId="0" fontId="0" fillId="4" borderId="0" applyBorder="0" applyNumberFormat="0" applyAlignment="0" applyProtection="0"/>
    <xf numFmtId="0" fontId="0" fillId="5" borderId="0" applyBorder="0" applyNumberFormat="0" applyAlignment="0" applyProtection="0"/>
    <xf numFmtId="0" fontId="0" fillId="6" borderId="0" applyBorder="0" applyNumberFormat="0" applyAlignment="0" applyProtection="0"/>
    <xf numFmtId="0" fontId="0" fillId="7" borderId="0" applyBorder="0" applyNumberFormat="0" applyAlignment="0" applyProtection="0"/>
    <xf numFmtId="0" fontId="0" fillId="8" borderId="0" applyBorder="0" applyNumberFormat="0" applyAlignment="0" applyProtection="0"/>
    <xf numFmtId="0" fontId="0" fillId="9" borderId="0" applyBorder="0" applyNumberFormat="0" applyAlignment="0" applyProtection="0"/>
    <xf numFmtId="0" fontId="0" fillId="10" borderId="0" applyBorder="0" applyNumberFormat="0" applyAlignment="0" applyProtection="0"/>
    <xf numFmtId="0" fontId="0" fillId="11" borderId="0" applyBorder="0" applyNumberFormat="0" applyAlignment="0" applyProtection="0"/>
    <xf numFmtId="0" fontId="0" fillId="12" borderId="0" applyBorder="0" applyNumberFormat="0" applyAlignment="0" applyProtection="0"/>
    <xf numFmtId="0" fontId="0" fillId="13" borderId="0" applyBorder="0" applyNumberFormat="0" applyAlignment="0" applyProtection="0"/>
    <xf numFmtId="0" fontId="0" fillId="14" borderId="0" applyBorder="0" applyNumberFormat="0" applyAlignment="0" applyProtection="0"/>
    <xf numFmtId="0" fontId="0" fillId="15" borderId="0" applyBorder="0" applyNumberFormat="0" applyAlignment="0" applyProtection="0"/>
    <xf numFmtId="0" fontId="0" fillId="16" borderId="0" applyBorder="0" applyNumberFormat="0" applyAlignment="0" applyProtection="0"/>
    <xf numFmtId="0" fontId="0" fillId="17" borderId="0" applyBorder="0" applyNumberFormat="0" applyAlignment="0" applyProtection="0"/>
    <xf numFmtId="0" fontId="0" fillId="18" borderId="0" applyBorder="0" applyNumberFormat="0" applyAlignment="0" applyProtection="0"/>
    <xf numFmtId="0" fontId="0" fillId="19" borderId="0" applyBorder="0" applyNumberFormat="0" applyAlignment="0" applyProtection="0"/>
    <xf numFmtId="0" fontId="1" fillId="20" borderId="0" applyBorder="0" applyNumberFormat="0" applyAlignment="0" applyProtection="0"/>
    <xf numFmtId="0" fontId="1" fillId="21" borderId="0" applyBorder="0" applyNumberFormat="0" applyAlignment="0" applyProtection="0"/>
    <xf numFmtId="0" fontId="1" fillId="22" borderId="0" applyBorder="0" applyNumberFormat="0" applyAlignment="0" applyProtection="0"/>
    <xf numFmtId="0" fontId="1" fillId="23" borderId="0" applyBorder="0" applyNumberFormat="0" applyAlignment="0" applyProtection="0"/>
    <xf numFmtId="0" fontId="1" fillId="24" borderId="0" applyBorder="0" applyNumberFormat="0" applyAlignment="0" applyProtection="0"/>
    <xf numFmtId="0" fontId="1" fillId="25" borderId="0" applyBorder="0" applyNumberFormat="0" applyAlignment="0" applyProtection="0"/>
    <xf numFmtId="0" fontId="2" fillId="26" borderId="0" applyBorder="0" applyNumberFormat="0" applyAlignment="0" applyProtection="0"/>
    <xf numFmtId="0" fontId="3" fillId="27" borderId="1" applyNumberFormat="0" applyAlignment="0" applyProtection="0"/>
    <xf numFmtId="0" fontId="4" fillId="28" borderId="2" applyNumberFormat="0" applyAlignment="0" applyProtection="0"/>
    <xf numFmtId="2025" fontId="0" fillId="0" borderId="0" applyFont="0" applyFill="0" applyBorder="0" applyAlignment="0" applyProtection="0"/>
    <xf numFmtId="0" fontId="5" fillId="0" borderId="0" applyFill="0" applyBorder="0" applyNumberFormat="0" applyAlignment="0" applyProtection="0"/>
    <xf numFmtId="0" fontId="6" fillId="29" borderId="0" applyBorder="0" applyNumberFormat="0" applyAlignment="0" applyProtection="0"/>
    <xf numFmtId="0" fontId="7" fillId="0" borderId="3" applyFill="0" applyNumberFormat="0" applyAlignment="0" applyProtection="0"/>
    <xf numFmtId="0" fontId="8" fillId="0" borderId="4" applyFill="0" applyNumberFormat="0" applyAlignment="0" applyProtection="0"/>
    <xf numFmtId="0" fontId="9" fillId="0" borderId="5" applyFill="0" applyNumberFormat="0" applyAlignment="0" applyProtection="0"/>
    <xf numFmtId="0" fontId="9" fillId="0" borderId="0" applyFill="0" applyBorder="0" applyNumberFormat="0" applyAlignment="0" applyProtection="0"/>
    <xf numFmtId="0" fontId="10" fillId="30" borderId="1" applyNumberFormat="0" applyAlignment="0" applyProtection="0"/>
    <xf numFmtId="0" fontId="11" fillId="0" borderId="6" applyFill="0" applyNumberFormat="0" applyAlignment="0" applyProtection="0"/>
    <xf numFmtId="0" fontId="12" fillId="31" borderId="0" applyBorder="0" applyNumberFormat="0" applyAlignment="0" applyProtection="0"/>
    <xf numFmtId="0" fontId="0" fillId="0" borderId="0"/>
    <xf numFmtId="0" fontId="0" fillId="32" borderId="7" applyFont="0" applyNumberFormat="0" applyAlignment="0" applyProtection="0"/>
    <xf numFmtId="0" fontId="13" fillId="27" borderId="8" applyNumberFormat="0" applyAlignment="0" applyProtection="0"/>
    <xf numFmtId="0" fontId="14" fillId="0" borderId="0" applyFill="0" applyBorder="0" applyNumberFormat="0" applyAlignment="0" applyProtection="0"/>
    <xf numFmtId="0" fontId="15" fillId="0" borderId="9" applyFill="0" applyNumberFormat="0" applyAlignment="0" applyProtection="0"/>
    <xf numFmtId="0" fontId="16" fillId="0" borderId="0" applyFill="0" applyBorder="0" applyNumberFormat="0" applyAlignment="0" applyProtection="0"/>
  </cellStyleXfs>
  <cellXfs count="13">
    <xf numFmtId="0" fontId="0" fillId="0" borderId="0" xfId="0"/>
    <xf numFmtId="2026" fontId="17" fillId="33" borderId="10" xfId="0">
      <alignment horizontal="left" vertical="bottom" wrapText="1"/>
    </xf>
    <xf numFmtId="2032" fontId="17" fillId="34" borderId="10" xfId="0">
      <alignment horizontal="left" vertical="bottom" wrapText="1"/>
      <protection locked="0"/>
    </xf>
    <xf numFmtId="2" fontId="17" fillId="33" borderId="10" xfId="0">
      <alignment horizontal="left" vertical="bottom" wrapText="1"/>
    </xf>
    <xf numFmtId="2027" fontId="17" fillId="33" borderId="10" xfId="28">
      <alignment horizontal="left" vertical="bottom" wrapText="1"/>
    </xf>
    <xf numFmtId="2028" fontId="17" fillId="33" borderId="10" xfId="28">
      <alignment horizontal="left" vertical="bottom" wrapText="1"/>
    </xf>
    <xf numFmtId="2026" fontId="0" fillId="0" borderId="0" xfId="0">
      <alignment vertical="bottom" wrapText="1"/>
    </xf>
    <xf numFmtId="0" fontId="0" fillId="0" borderId="0" xfId="0">
      <alignment vertical="bottom" wrapText="1"/>
    </xf>
    <xf numFmtId="2" fontId="0" fillId="0" borderId="0" xfId="0">
      <alignment vertical="bottom" wrapText="1"/>
    </xf>
    <xf numFmtId="2027" fontId="0" fillId="0" borderId="0" xfId="28">
      <alignment vertical="bottom" wrapText="1"/>
    </xf>
    <xf numFmtId="2028" fontId="0" fillId="0" borderId="0" xfId="0">
      <alignment vertical="bottom" wrapText="1"/>
    </xf>
    <xf numFmtId="0" fontId="18" fillId="0" borderId="0" xfId="0">
      <alignment vertical="bottom" wrapText="1"/>
    </xf>
    <xf numFmtId="2032" fontId="0" fillId="0" borderId="0" xfId="0">
      <alignment vertical="bottom" wrapText="1"/>
      <protection locked="0"/>
    </xf>
  </cellXfs>
  <cellStyles count="43">
    <cellStyle name="Normal" xfId="38"/>
    <cellStyle name="20% - Accent 1" xfId="1" builtinId="30"/>
    <cellStyle name="20% - Accent 2" xfId="2" builtinId="34"/>
    <cellStyle name="20% - Accent 3" xfId="3" builtinId="38"/>
    <cellStyle name="20% - Accent 4" xfId="4" builtinId="42"/>
    <cellStyle name="20% - Accent 5" xfId="5" builtinId="46"/>
    <cellStyle name="20% - Accent 6" xfId="6" builtinId="50"/>
    <cellStyle name="40% - Accent 1" xfId="7" builtinId="31"/>
    <cellStyle name="40% - Accent 2" xfId="8" builtinId="35"/>
    <cellStyle name="40% - Accent 3" xfId="9" builtinId="39"/>
    <cellStyle name="40% - Accent 4" xfId="10" builtinId="43"/>
    <cellStyle name="40% - Accent 5" xfId="11" builtinId="47"/>
    <cellStyle name="40% - Accent 6" xfId="12" builtinId="51"/>
    <cellStyle name="60% - Accent 1" xfId="13" builtinId="32"/>
    <cellStyle name="60% - Accent 2" xfId="14" builtinId="36"/>
    <cellStyle name="60% - Accent 3" xfId="15" builtinId="40"/>
    <cellStyle name="60% - Accent 4" xfId="16" builtinId="44"/>
    <cellStyle name="60% - Accent 5" xfId="17" builtinId="48"/>
    <cellStyle name="60% - Accent 6" xfId="18" builtinId="52"/>
    <cellStyle name="Accent 1" xfId="19" builtinId="29"/>
    <cellStyle name="Accent 2" xfId="20" builtinId="33"/>
    <cellStyle name="Accent 3" xfId="21" builtinId="37"/>
    <cellStyle name="Accent 4" xfId="22" builtinId="41"/>
    <cellStyle name="Accent 5" xfId="23" builtinId="45"/>
    <cellStyle name="Accent 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te" xfId="39" builtinId="10"/>
    <cellStyle name="Output" xfId="40" builtinId="21"/>
    <cellStyle name="Title" xfId="41" builtinId="15"/>
    <cellStyle name="Total" xfId="42" builtinId="25"/>
    <cellStyle name="Warning Text" xfId="43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87D8C85-DE2A-4EF1-BBC5-CD56FF698A72}" mc:Ignorable="x14ac xr xr2 xr3">
  <dimension ref="A1:AQ362"/>
  <sheetViews>
    <sheetView topLeftCell="A1" zoomScale="88" workbookViewId="0" tabSelected="1">
      <pane ySplit="1" topLeftCell="A362" activePane="bottomLeft" state="frozen"/>
      <selection pane="bottomLeft" activeCell="A2" sqref="A2"/>
    </sheetView>
  </sheetViews>
  <sheetFormatPr defaultRowHeight="15" defaultColWidth="9.140625" customHeight="1"/>
  <cols>
    <col min="1" max="1" style="6" width="13.00390625" customWidth="1"/>
    <col min="2" max="2" style="12" width="10.7109375" customWidth="1"/>
    <col min="3" max="4" style="7" width="9.140625" customWidth="1"/>
    <col min="5" max="5" style="6" width="9.140625" customWidth="1"/>
    <col min="6" max="6" style="7" width="9.140625" customWidth="1"/>
    <col min="7" max="7" style="8" width="9.140625" customWidth="1"/>
    <col min="8" max="8" style="9" width="10.57421875" customWidth="1"/>
    <col min="9" max="10" style="10" width="9.140625" customWidth="1"/>
    <col min="11" max="22" style="7" width="9.140625" customWidth="1"/>
    <col min="23" max="25" style="7" width="22.7109375" customWidth="1"/>
    <col min="26" max="26" style="7" width="30.7109375" customWidth="1"/>
    <col min="27" max="43" style="7" width="9.140625" customWidth="1"/>
  </cols>
  <sheetData>
    <row r="1" ht="4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30" customHeight="1">
      <c r="A2" s="6">
        <v>5654892</v>
      </c>
      <c r="C2" s="7" t="s">
        <v>43</v>
      </c>
      <c r="D2" s="7" t="s">
        <v>44</v>
      </c>
      <c r="E2" s="6">
        <v>0.076</v>
      </c>
      <c r="F2" s="7" t="s">
        <v>45</v>
      </c>
      <c r="G2" s="8">
        <v>46.55</v>
      </c>
      <c r="H2" s="9">
        <v>55840</v>
      </c>
      <c r="I2" s="10">
        <f t="shared" si="0" ref="I2:I362">H2/2000</f>
        <v>27.92</v>
      </c>
      <c r="J2" s="10">
        <f t="shared" si="1" ref="J2:J362">H2/100</f>
        <v>558.4</v>
      </c>
      <c r="K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AA2" s="7">
        <v>0.06</v>
      </c>
      <c r="AB2" s="7">
        <v>1.4</v>
      </c>
      <c r="AC2" s="7">
        <v>0.011</v>
      </c>
      <c r="AD2" s="7">
        <v>0.001</v>
      </c>
      <c r="AE2" s="7">
        <v>0.192</v>
      </c>
      <c r="AF2" s="7">
        <v>0.1</v>
      </c>
      <c r="AG2" s="7">
        <v>0.04</v>
      </c>
      <c r="AH2" s="7">
        <v>0.08</v>
      </c>
      <c r="AI2" s="7">
        <v>0.03</v>
      </c>
      <c r="AJ2" s="7">
        <v>0.004</v>
      </c>
      <c r="AK2" s="7">
        <v>0.062</v>
      </c>
      <c r="AL2" s="7">
        <v>0.016</v>
      </c>
      <c r="AM2" s="7">
        <v>0.038</v>
      </c>
      <c r="AN2" s="7">
        <v>0.119</v>
      </c>
      <c r="AO2" s="7">
        <v>0.0009</v>
      </c>
      <c r="AP2" s="7">
        <v>0.0058</v>
      </c>
      <c r="AQ2" s="7">
        <v>0.0019</v>
      </c>
    </row>
    <row r="3" ht="15" customHeight="1">
      <c r="A3" s="6">
        <v>5602782</v>
      </c>
      <c r="C3" s="7" t="s">
        <v>51</v>
      </c>
      <c r="D3" s="7" t="s">
        <v>44</v>
      </c>
      <c r="E3" s="6">
        <v>0.076</v>
      </c>
      <c r="F3" s="7" t="s">
        <v>45</v>
      </c>
      <c r="G3" s="8">
        <v>51.08</v>
      </c>
      <c r="H3" s="9">
        <v>52830</v>
      </c>
      <c r="I3" s="10">
        <f t="shared" si="0"/>
        <v>26.415</v>
      </c>
      <c r="J3" s="10">
        <f t="shared" si="1"/>
        <v>528.3</v>
      </c>
      <c r="K3" s="7" t="s">
        <v>46</v>
      </c>
      <c r="L3" s="7">
        <v>112.7</v>
      </c>
      <c r="M3" s="7">
        <v>116.6</v>
      </c>
      <c r="N3" s="7">
        <v>15.9</v>
      </c>
      <c r="V3" s="7" t="s">
        <v>52</v>
      </c>
      <c r="W3" s="7" t="s">
        <v>53</v>
      </c>
      <c r="X3" s="7" t="s">
        <v>54</v>
      </c>
      <c r="Y3" s="7" t="s">
        <v>55</v>
      </c>
      <c r="Z3" s="7" t="s">
        <v>56</v>
      </c>
      <c r="AA3" s="7">
        <v>0.06</v>
      </c>
      <c r="AB3" s="7">
        <v>1.36</v>
      </c>
      <c r="AC3" s="7">
        <v>0.009</v>
      </c>
      <c r="AD3" s="7">
        <v>0</v>
      </c>
      <c r="AE3" s="7">
        <v>0.219</v>
      </c>
      <c r="AF3" s="7">
        <v>0.11</v>
      </c>
      <c r="AG3" s="7">
        <v>0.05</v>
      </c>
      <c r="AH3" s="7">
        <v>0.07</v>
      </c>
      <c r="AI3" s="7">
        <v>0.04</v>
      </c>
      <c r="AJ3" s="7">
        <v>0.006</v>
      </c>
      <c r="AK3" s="7">
        <v>0.06</v>
      </c>
      <c r="AL3" s="7">
        <v>0.016</v>
      </c>
      <c r="AM3" s="7">
        <v>0.035</v>
      </c>
      <c r="AN3" s="7">
        <v>0.126</v>
      </c>
      <c r="AO3" s="7">
        <v>0.0001</v>
      </c>
      <c r="AP3" s="7">
        <v>0.0081</v>
      </c>
      <c r="AQ3" s="7">
        <v>0.0017</v>
      </c>
    </row>
    <row r="4" ht="30" customHeight="1">
      <c r="A4" s="6">
        <v>5657020</v>
      </c>
      <c r="C4" s="7" t="s">
        <v>51</v>
      </c>
      <c r="D4" s="7" t="s">
        <v>44</v>
      </c>
      <c r="E4" s="6">
        <v>0.09</v>
      </c>
      <c r="F4" s="7" t="s">
        <v>45</v>
      </c>
      <c r="G4" s="8">
        <v>48.37</v>
      </c>
      <c r="H4" s="9">
        <v>45660</v>
      </c>
      <c r="I4" s="10">
        <f t="shared" si="0"/>
        <v>22.83</v>
      </c>
      <c r="J4" s="10">
        <f t="shared" si="1"/>
        <v>456.6</v>
      </c>
      <c r="K4" s="7" t="s">
        <v>57</v>
      </c>
      <c r="V4" s="7" t="s">
        <v>58</v>
      </c>
      <c r="W4" s="7" t="s">
        <v>59</v>
      </c>
      <c r="X4" s="7" t="s">
        <v>60</v>
      </c>
      <c r="Y4" s="7" t="s">
        <v>61</v>
      </c>
      <c r="Z4" s="7" t="s">
        <v>62</v>
      </c>
      <c r="AA4" s="7">
        <v>0.07</v>
      </c>
      <c r="AB4" s="7">
        <v>1.58</v>
      </c>
      <c r="AC4" s="7">
        <v>0.009</v>
      </c>
      <c r="AD4" s="7">
        <v>0</v>
      </c>
      <c r="AE4" s="7">
        <v>0.242</v>
      </c>
      <c r="AF4" s="7">
        <v>0.1</v>
      </c>
      <c r="AG4" s="7">
        <v>0.03</v>
      </c>
      <c r="AH4" s="7">
        <v>0.6</v>
      </c>
      <c r="AI4" s="7">
        <v>0.01</v>
      </c>
      <c r="AJ4" s="7">
        <v>0.002</v>
      </c>
      <c r="AK4" s="7">
        <v>0.036</v>
      </c>
      <c r="AL4" s="7">
        <v>0.006</v>
      </c>
      <c r="AM4" s="7">
        <v>0.037</v>
      </c>
      <c r="AN4" s="7">
        <v>0.012</v>
      </c>
      <c r="AO4" s="7">
        <v>0.0002</v>
      </c>
      <c r="AP4" s="7">
        <v>0.0063</v>
      </c>
      <c r="AQ4" s="7">
        <v>0.001</v>
      </c>
    </row>
    <row r="5" ht="30" customHeight="1">
      <c r="A5" s="6">
        <v>5640958</v>
      </c>
      <c r="C5" s="7" t="s">
        <v>51</v>
      </c>
      <c r="D5" s="7" t="s">
        <v>44</v>
      </c>
      <c r="E5" s="6">
        <v>0.09</v>
      </c>
      <c r="F5" s="7" t="s">
        <v>63</v>
      </c>
      <c r="G5" s="8">
        <v>61.22</v>
      </c>
      <c r="H5" s="9">
        <v>53280</v>
      </c>
      <c r="I5" s="10">
        <f t="shared" si="0"/>
        <v>26.64</v>
      </c>
      <c r="J5" s="10">
        <f t="shared" si="1"/>
        <v>532.8</v>
      </c>
      <c r="K5" s="7" t="s">
        <v>64</v>
      </c>
      <c r="V5" s="7" t="s">
        <v>58</v>
      </c>
      <c r="W5" s="7" t="s">
        <v>59</v>
      </c>
      <c r="X5" s="7" t="s">
        <v>65</v>
      </c>
      <c r="Y5" s="7" t="s">
        <v>66</v>
      </c>
      <c r="Z5" s="7" t="s">
        <v>67</v>
      </c>
      <c r="AA5" s="7">
        <v>0.06</v>
      </c>
      <c r="AB5" s="7">
        <v>0.37</v>
      </c>
      <c r="AC5" s="7">
        <v>0.009</v>
      </c>
      <c r="AD5" s="7">
        <v>0.001</v>
      </c>
      <c r="AE5" s="7">
        <v>0.023</v>
      </c>
      <c r="AF5" s="7">
        <v>0.1</v>
      </c>
      <c r="AG5" s="7">
        <v>0.03</v>
      </c>
      <c r="AH5" s="7">
        <v>0.07</v>
      </c>
      <c r="AI5" s="7">
        <v>0.01</v>
      </c>
      <c r="AJ5" s="7">
        <v>0.004</v>
      </c>
      <c r="AK5" s="7">
        <v>0.031</v>
      </c>
      <c r="AL5" s="7">
        <v>0.002</v>
      </c>
      <c r="AM5" s="7">
        <v>0.001</v>
      </c>
      <c r="AN5" s="7">
        <v>0.001</v>
      </c>
      <c r="AO5" s="7">
        <v>0.0001</v>
      </c>
      <c r="AP5" s="7">
        <v>0.0053</v>
      </c>
      <c r="AQ5" s="7">
        <v>0.0026</v>
      </c>
    </row>
    <row r="6" ht="60" customHeight="1">
      <c r="A6" s="6">
        <v>5645812</v>
      </c>
      <c r="C6" s="7" t="s">
        <v>51</v>
      </c>
      <c r="D6" s="7" t="s">
        <v>44</v>
      </c>
      <c r="E6" s="6">
        <v>0.09</v>
      </c>
      <c r="F6" s="7" t="s">
        <v>63</v>
      </c>
      <c r="G6" s="8">
        <v>62.11</v>
      </c>
      <c r="H6" s="9">
        <v>71000</v>
      </c>
      <c r="I6" s="10">
        <f t="shared" si="0"/>
        <v>35.5</v>
      </c>
      <c r="J6" s="10">
        <f t="shared" si="1"/>
        <v>710</v>
      </c>
      <c r="K6" s="7" t="s">
        <v>68</v>
      </c>
      <c r="V6" s="7" t="s">
        <v>58</v>
      </c>
      <c r="W6" s="7" t="s">
        <v>59</v>
      </c>
      <c r="X6" s="7" t="s">
        <v>69</v>
      </c>
      <c r="Y6" s="7" t="s">
        <v>70</v>
      </c>
      <c r="Z6" s="7" t="s">
        <v>71</v>
      </c>
      <c r="AA6" s="7">
        <v>0.02</v>
      </c>
      <c r="AB6" s="7">
        <v>0.17</v>
      </c>
      <c r="AC6" s="7">
        <v>0.008</v>
      </c>
      <c r="AD6" s="7">
        <v>0.002</v>
      </c>
      <c r="AE6" s="7">
        <v>0.024</v>
      </c>
      <c r="AF6" s="7">
        <v>0.08</v>
      </c>
      <c r="AG6" s="7">
        <v>0.03</v>
      </c>
      <c r="AH6" s="7">
        <v>0.03</v>
      </c>
      <c r="AI6" s="7">
        <v>0.01</v>
      </c>
      <c r="AJ6" s="7">
        <v>0.003</v>
      </c>
      <c r="AK6" s="7">
        <v>0.047</v>
      </c>
      <c r="AL6" s="7">
        <v>0.001</v>
      </c>
      <c r="AM6" s="7">
        <v>0.001</v>
      </c>
      <c r="AN6" s="7">
        <v>0</v>
      </c>
      <c r="AO6" s="7">
        <v>0.0001</v>
      </c>
      <c r="AP6" s="7">
        <v>0.0047</v>
      </c>
      <c r="AQ6" s="7">
        <v>0.0018</v>
      </c>
    </row>
    <row r="7" ht="45" customHeight="1">
      <c r="A7" s="6">
        <v>5671992</v>
      </c>
      <c r="C7" s="7" t="s">
        <v>51</v>
      </c>
      <c r="D7" s="7" t="s">
        <v>44</v>
      </c>
      <c r="E7" s="6">
        <v>0.09</v>
      </c>
      <c r="F7" s="7" t="s">
        <v>63</v>
      </c>
      <c r="G7" s="8">
        <v>62.2</v>
      </c>
      <c r="H7" s="9">
        <v>72020</v>
      </c>
      <c r="I7" s="10">
        <f t="shared" si="0"/>
        <v>36.01</v>
      </c>
      <c r="J7" s="10">
        <f t="shared" si="1"/>
        <v>720.2</v>
      </c>
      <c r="K7" s="7" t="s">
        <v>68</v>
      </c>
      <c r="V7" s="7" t="s">
        <v>52</v>
      </c>
      <c r="W7" s="7" t="s">
        <v>69</v>
      </c>
      <c r="X7" s="7" t="s">
        <v>72</v>
      </c>
      <c r="Y7" s="7" t="s">
        <v>73</v>
      </c>
      <c r="Z7" s="7" t="s">
        <v>74</v>
      </c>
      <c r="AA7" s="7">
        <v>0.03</v>
      </c>
      <c r="AB7" s="7">
        <v>0.17</v>
      </c>
      <c r="AC7" s="7">
        <v>0.01</v>
      </c>
      <c r="AD7" s="7">
        <v>0.001</v>
      </c>
      <c r="AE7" s="7">
        <v>0.027</v>
      </c>
      <c r="AF7" s="7">
        <v>0.09</v>
      </c>
      <c r="AG7" s="7">
        <v>0.03</v>
      </c>
      <c r="AH7" s="7">
        <v>0.05</v>
      </c>
      <c r="AI7" s="7">
        <v>0.01</v>
      </c>
      <c r="AJ7" s="7">
        <v>0.007</v>
      </c>
      <c r="AK7" s="7">
        <v>0.043</v>
      </c>
      <c r="AL7" s="7">
        <v>0.001</v>
      </c>
      <c r="AM7" s="7">
        <v>0.001</v>
      </c>
      <c r="AN7" s="7">
        <v>0.001</v>
      </c>
      <c r="AO7" s="7">
        <v>0.0001</v>
      </c>
      <c r="AP7" s="7">
        <v>0.0048</v>
      </c>
      <c r="AQ7" s="7">
        <v>0.002</v>
      </c>
    </row>
    <row r="8" ht="45" customHeight="1">
      <c r="A8" s="6">
        <v>5671990</v>
      </c>
      <c r="C8" s="7" t="s">
        <v>51</v>
      </c>
      <c r="D8" s="7" t="s">
        <v>44</v>
      </c>
      <c r="E8" s="6">
        <v>0.09</v>
      </c>
      <c r="F8" s="7" t="s">
        <v>63</v>
      </c>
      <c r="G8" s="8">
        <v>62.24</v>
      </c>
      <c r="H8" s="9">
        <v>71300</v>
      </c>
      <c r="I8" s="10">
        <f t="shared" si="0"/>
        <v>35.65</v>
      </c>
      <c r="J8" s="10">
        <f t="shared" si="1"/>
        <v>713</v>
      </c>
      <c r="K8" s="7" t="s">
        <v>68</v>
      </c>
      <c r="V8" s="7" t="s">
        <v>58</v>
      </c>
      <c r="W8" s="7" t="s">
        <v>59</v>
      </c>
      <c r="X8" s="7" t="s">
        <v>69</v>
      </c>
      <c r="Z8" s="7" t="s">
        <v>75</v>
      </c>
      <c r="AA8" s="7">
        <v>0.03</v>
      </c>
      <c r="AB8" s="7">
        <v>0.17</v>
      </c>
      <c r="AC8" s="7">
        <v>0.01</v>
      </c>
      <c r="AD8" s="7">
        <v>0.001</v>
      </c>
      <c r="AE8" s="7">
        <v>0.027</v>
      </c>
      <c r="AF8" s="7">
        <v>0.09</v>
      </c>
      <c r="AG8" s="7">
        <v>0.03</v>
      </c>
      <c r="AH8" s="7">
        <v>0.05</v>
      </c>
      <c r="AI8" s="7">
        <v>0.01</v>
      </c>
      <c r="AJ8" s="7">
        <v>0.007</v>
      </c>
      <c r="AK8" s="7">
        <v>0.043</v>
      </c>
      <c r="AL8" s="7">
        <v>0.001</v>
      </c>
      <c r="AM8" s="7">
        <v>0.001</v>
      </c>
      <c r="AN8" s="7">
        <v>0.001</v>
      </c>
      <c r="AO8" s="7">
        <v>0.0001</v>
      </c>
      <c r="AP8" s="7">
        <v>0.0048</v>
      </c>
      <c r="AQ8" s="7">
        <v>0.002</v>
      </c>
    </row>
    <row r="9" ht="60" customHeight="1">
      <c r="A9" s="6">
        <v>5645801</v>
      </c>
      <c r="C9" s="7" t="s">
        <v>51</v>
      </c>
      <c r="D9" s="7" t="s">
        <v>44</v>
      </c>
      <c r="E9" s="6">
        <v>0.09</v>
      </c>
      <c r="F9" s="7" t="s">
        <v>63</v>
      </c>
      <c r="G9" s="8">
        <v>62.73</v>
      </c>
      <c r="H9" s="9">
        <v>71300</v>
      </c>
      <c r="I9" s="10">
        <f t="shared" si="0"/>
        <v>35.65</v>
      </c>
      <c r="J9" s="10">
        <f t="shared" si="1"/>
        <v>713</v>
      </c>
      <c r="K9" s="7" t="s">
        <v>68</v>
      </c>
      <c r="V9" s="7" t="s">
        <v>58</v>
      </c>
      <c r="W9" s="7" t="s">
        <v>59</v>
      </c>
      <c r="X9" s="7" t="s">
        <v>65</v>
      </c>
      <c r="Y9" s="7" t="s">
        <v>72</v>
      </c>
      <c r="Z9" s="7" t="s">
        <v>76</v>
      </c>
      <c r="AA9" s="7">
        <v>0.02</v>
      </c>
      <c r="AB9" s="7">
        <v>0.16</v>
      </c>
      <c r="AC9" s="7">
        <v>0.01</v>
      </c>
      <c r="AD9" s="7">
        <v>0.005</v>
      </c>
      <c r="AE9" s="7">
        <v>0.014</v>
      </c>
      <c r="AF9" s="7">
        <v>0.1</v>
      </c>
      <c r="AG9" s="7">
        <v>0.03</v>
      </c>
      <c r="AH9" s="7">
        <v>0.03</v>
      </c>
      <c r="AI9" s="7">
        <v>0.01</v>
      </c>
      <c r="AJ9" s="7">
        <v>0.004</v>
      </c>
      <c r="AK9" s="7">
        <v>0.04</v>
      </c>
      <c r="AL9" s="7">
        <v>0.001</v>
      </c>
      <c r="AM9" s="7">
        <v>0.001</v>
      </c>
      <c r="AN9" s="7">
        <v>0.001</v>
      </c>
      <c r="AO9" s="7">
        <v>0.0003</v>
      </c>
      <c r="AP9" s="7">
        <v>0.005</v>
      </c>
      <c r="AQ9" s="7">
        <v>0.0018</v>
      </c>
    </row>
    <row r="10" ht="45" customHeight="1">
      <c r="A10" s="6">
        <v>5664462</v>
      </c>
      <c r="C10" s="7" t="s">
        <v>51</v>
      </c>
      <c r="D10" s="7" t="s">
        <v>44</v>
      </c>
      <c r="E10" s="6">
        <v>0.095</v>
      </c>
      <c r="F10" s="7" t="s">
        <v>45</v>
      </c>
      <c r="G10" s="8">
        <v>50.96</v>
      </c>
      <c r="H10" s="9">
        <v>45760</v>
      </c>
      <c r="I10" s="10">
        <f t="shared" si="0"/>
        <v>22.88</v>
      </c>
      <c r="J10" s="10">
        <f t="shared" si="1"/>
        <v>457.6</v>
      </c>
      <c r="K10" s="7" t="s">
        <v>77</v>
      </c>
      <c r="V10" s="7" t="s">
        <v>47</v>
      </c>
      <c r="W10" s="7" t="s">
        <v>78</v>
      </c>
      <c r="X10" s="7" t="s">
        <v>79</v>
      </c>
      <c r="Y10" s="7" t="s">
        <v>80</v>
      </c>
      <c r="Z10" s="7" t="s">
        <v>81</v>
      </c>
      <c r="AA10" s="7">
        <v>0.32</v>
      </c>
      <c r="AB10" s="7">
        <v>0.72</v>
      </c>
      <c r="AC10" s="7">
        <v>0.009</v>
      </c>
      <c r="AD10" s="7">
        <v>0.003</v>
      </c>
      <c r="AE10" s="7">
        <v>0.018</v>
      </c>
      <c r="AF10" s="7">
        <v>0.12</v>
      </c>
      <c r="AG10" s="7">
        <v>0.03</v>
      </c>
      <c r="AH10" s="7">
        <v>0.06</v>
      </c>
      <c r="AI10" s="7">
        <v>0.01</v>
      </c>
      <c r="AJ10" s="7">
        <v>0.002</v>
      </c>
      <c r="AK10" s="7">
        <v>0.038</v>
      </c>
      <c r="AL10" s="7">
        <v>0.003</v>
      </c>
      <c r="AM10" s="7">
        <v>0.001</v>
      </c>
      <c r="AN10" s="7">
        <v>0</v>
      </c>
      <c r="AO10" s="7">
        <v>0.0001</v>
      </c>
      <c r="AP10" s="7">
        <v>0.0055</v>
      </c>
      <c r="AQ10" s="7">
        <v>0.0016</v>
      </c>
    </row>
    <row r="11" ht="75" customHeight="1">
      <c r="A11" s="6">
        <v>5632708</v>
      </c>
      <c r="C11" s="7" t="s">
        <v>51</v>
      </c>
      <c r="D11" s="7" t="s">
        <v>44</v>
      </c>
      <c r="E11" s="6">
        <v>0.095</v>
      </c>
      <c r="F11" s="7" t="s">
        <v>63</v>
      </c>
      <c r="G11" s="8">
        <v>51.96</v>
      </c>
      <c r="H11" s="9">
        <v>50060</v>
      </c>
      <c r="I11" s="10">
        <f t="shared" si="0"/>
        <v>25.03</v>
      </c>
      <c r="J11" s="10">
        <f t="shared" si="1"/>
        <v>500.6</v>
      </c>
      <c r="K11" s="7" t="s">
        <v>57</v>
      </c>
      <c r="V11" s="7" t="s">
        <v>47</v>
      </c>
      <c r="W11" s="7" t="s">
        <v>82</v>
      </c>
      <c r="X11" s="7" t="s">
        <v>83</v>
      </c>
      <c r="Y11" s="7" t="s">
        <v>84</v>
      </c>
      <c r="Z11" s="7" t="s">
        <v>85</v>
      </c>
      <c r="AA11" s="7">
        <v>0.07</v>
      </c>
      <c r="AB11" s="7">
        <v>1.55</v>
      </c>
      <c r="AC11" s="7">
        <v>0.01</v>
      </c>
      <c r="AD11" s="7">
        <v>0.001</v>
      </c>
      <c r="AE11" s="7">
        <v>0.245</v>
      </c>
      <c r="AF11" s="7">
        <v>0.11</v>
      </c>
      <c r="AG11" s="7">
        <v>0.03</v>
      </c>
      <c r="AH11" s="7">
        <v>0.55</v>
      </c>
      <c r="AI11" s="7">
        <v>0.01</v>
      </c>
      <c r="AJ11" s="7">
        <v>0.002</v>
      </c>
      <c r="AK11" s="7">
        <v>0.042</v>
      </c>
      <c r="AL11" s="7">
        <v>0.006</v>
      </c>
      <c r="AM11" s="7">
        <v>0.037</v>
      </c>
      <c r="AN11" s="7">
        <v>0.012</v>
      </c>
      <c r="AO11" s="7">
        <v>0.0002</v>
      </c>
      <c r="AP11" s="7">
        <v>0.0064</v>
      </c>
      <c r="AQ11" s="7">
        <v>0.0017</v>
      </c>
    </row>
    <row r="12" ht="30" customHeight="1">
      <c r="A12" s="6">
        <v>5657233</v>
      </c>
      <c r="C12" s="7" t="s">
        <v>51</v>
      </c>
      <c r="D12" s="7" t="s">
        <v>44</v>
      </c>
      <c r="E12" s="6">
        <v>0.099</v>
      </c>
      <c r="F12" s="7" t="s">
        <v>45</v>
      </c>
      <c r="G12" s="8">
        <v>54.86</v>
      </c>
      <c r="H12" s="9">
        <v>50960</v>
      </c>
      <c r="I12" s="10">
        <f t="shared" si="0"/>
        <v>25.48</v>
      </c>
      <c r="J12" s="10">
        <f t="shared" si="1"/>
        <v>509.6</v>
      </c>
      <c r="K12" s="7" t="s">
        <v>86</v>
      </c>
      <c r="L12" s="7">
        <v>83.2</v>
      </c>
      <c r="M12" s="7">
        <v>90</v>
      </c>
      <c r="N12" s="7">
        <v>15</v>
      </c>
      <c r="O12" s="7">
        <v>93</v>
      </c>
      <c r="V12" s="7" t="s">
        <v>47</v>
      </c>
      <c r="W12" s="7" t="s">
        <v>87</v>
      </c>
      <c r="X12" s="7" t="s">
        <v>66</v>
      </c>
      <c r="Y12" s="7" t="s">
        <v>88</v>
      </c>
      <c r="Z12" s="7" t="s">
        <v>89</v>
      </c>
      <c r="AA12" s="7">
        <v>0.05</v>
      </c>
      <c r="AB12" s="7">
        <v>0.75</v>
      </c>
      <c r="AC12" s="7">
        <v>0.01</v>
      </c>
      <c r="AD12" s="7">
        <v>0.001</v>
      </c>
      <c r="AE12" s="7">
        <v>0.2</v>
      </c>
      <c r="AF12" s="7">
        <v>0.12</v>
      </c>
      <c r="AG12" s="7">
        <v>0.03</v>
      </c>
      <c r="AH12" s="7">
        <v>0.06</v>
      </c>
      <c r="AI12" s="7">
        <v>0.01</v>
      </c>
      <c r="AJ12" s="7">
        <v>0.003</v>
      </c>
      <c r="AK12" s="7">
        <v>0.047</v>
      </c>
      <c r="AL12" s="7">
        <v>0.006</v>
      </c>
      <c r="AM12" s="7">
        <v>0.001</v>
      </c>
      <c r="AN12" s="7">
        <v>0.05</v>
      </c>
      <c r="AO12" s="7">
        <v>0.0004</v>
      </c>
      <c r="AP12" s="7">
        <v>0.0071</v>
      </c>
      <c r="AQ12" s="7">
        <v>0.0012</v>
      </c>
    </row>
    <row r="13" ht="60" customHeight="1">
      <c r="A13" s="6">
        <v>5680464</v>
      </c>
      <c r="C13" s="7" t="s">
        <v>51</v>
      </c>
      <c r="D13" s="7" t="s">
        <v>44</v>
      </c>
      <c r="E13" s="6">
        <v>0.1</v>
      </c>
      <c r="F13" s="7" t="s">
        <v>63</v>
      </c>
      <c r="G13" s="8">
        <v>50.24</v>
      </c>
      <c r="H13" s="9">
        <v>50120</v>
      </c>
      <c r="I13" s="10">
        <f t="shared" si="0"/>
        <v>25.06</v>
      </c>
      <c r="J13" s="10">
        <f t="shared" si="1"/>
        <v>501.2</v>
      </c>
      <c r="K13" s="7" t="s">
        <v>90</v>
      </c>
      <c r="V13" s="7" t="s">
        <v>52</v>
      </c>
      <c r="W13" s="7" t="s">
        <v>91</v>
      </c>
      <c r="X13" s="7" t="s">
        <v>92</v>
      </c>
      <c r="Y13" s="7" t="s">
        <v>93</v>
      </c>
      <c r="Z13" s="7" t="s">
        <v>94</v>
      </c>
      <c r="AA13" s="7">
        <v>0.05</v>
      </c>
      <c r="AB13" s="7">
        <v>0.18</v>
      </c>
      <c r="AC13" s="7">
        <v>0.007</v>
      </c>
      <c r="AD13" s="7">
        <v>0.002</v>
      </c>
      <c r="AE13" s="7">
        <v>0.02</v>
      </c>
      <c r="AF13" s="7">
        <v>0.12</v>
      </c>
      <c r="AG13" s="7">
        <v>0.03</v>
      </c>
      <c r="AH13" s="7">
        <v>0.04</v>
      </c>
      <c r="AI13" s="7">
        <v>0.01</v>
      </c>
      <c r="AJ13" s="7">
        <v>0.005</v>
      </c>
      <c r="AK13" s="7">
        <v>0.033</v>
      </c>
      <c r="AL13" s="7">
        <v>0.001</v>
      </c>
      <c r="AM13" s="7">
        <v>0.001</v>
      </c>
      <c r="AN13" s="7">
        <v>0.001</v>
      </c>
      <c r="AO13" s="7">
        <v>0.0001</v>
      </c>
      <c r="AP13" s="7">
        <v>0.0066</v>
      </c>
      <c r="AQ13" s="7">
        <v>0.0017</v>
      </c>
    </row>
    <row r="14" ht="30" customHeight="1">
      <c r="A14" s="6">
        <v>5691068</v>
      </c>
      <c r="C14" s="7" t="s">
        <v>51</v>
      </c>
      <c r="D14" s="7" t="s">
        <v>44</v>
      </c>
      <c r="E14" s="6">
        <v>0.1</v>
      </c>
      <c r="F14" s="7" t="s">
        <v>45</v>
      </c>
      <c r="G14" s="8">
        <v>53.25</v>
      </c>
      <c r="H14" s="9">
        <v>51440</v>
      </c>
      <c r="I14" s="10">
        <f t="shared" si="0"/>
        <v>25.72</v>
      </c>
      <c r="J14" s="10">
        <f t="shared" si="1"/>
        <v>514.4</v>
      </c>
      <c r="K14" s="7" t="s">
        <v>57</v>
      </c>
      <c r="V14" s="7" t="s">
        <v>52</v>
      </c>
      <c r="W14" s="7" t="s">
        <v>95</v>
      </c>
      <c r="X14" s="7" t="s">
        <v>96</v>
      </c>
      <c r="Y14" s="7" t="s">
        <v>50</v>
      </c>
      <c r="Z14" s="7" t="s">
        <v>97</v>
      </c>
      <c r="AA14" s="7">
        <v>0.07</v>
      </c>
      <c r="AB14" s="7">
        <v>1.59</v>
      </c>
      <c r="AC14" s="7">
        <v>0.01</v>
      </c>
      <c r="AD14" s="7">
        <v>0</v>
      </c>
      <c r="AE14" s="7">
        <v>0.252</v>
      </c>
      <c r="AF14" s="7">
        <v>0.1</v>
      </c>
      <c r="AG14" s="7">
        <v>0.03</v>
      </c>
      <c r="AH14" s="7">
        <v>0.58</v>
      </c>
      <c r="AI14" s="7">
        <v>0.02</v>
      </c>
      <c r="AJ14" s="7">
        <v>0.002</v>
      </c>
      <c r="AK14" s="7">
        <v>0.036</v>
      </c>
      <c r="AL14" s="7">
        <v>0.006</v>
      </c>
      <c r="AM14" s="7">
        <v>0.037</v>
      </c>
      <c r="AN14" s="7">
        <v>0.012</v>
      </c>
      <c r="AO14" s="7">
        <v>0.0003</v>
      </c>
      <c r="AP14" s="7">
        <v>0.0062</v>
      </c>
      <c r="AQ14" s="7">
        <v>0.0012</v>
      </c>
    </row>
    <row r="15" ht="30" customHeight="1">
      <c r="A15" s="6">
        <v>5470769</v>
      </c>
      <c r="C15" s="7" t="s">
        <v>51</v>
      </c>
      <c r="D15" s="7" t="s">
        <v>44</v>
      </c>
      <c r="E15" s="6">
        <v>0.1</v>
      </c>
      <c r="F15" s="7" t="s">
        <v>45</v>
      </c>
      <c r="G15" s="8">
        <v>57.12</v>
      </c>
      <c r="H15" s="9">
        <v>72954</v>
      </c>
      <c r="I15" s="10">
        <f t="shared" si="0"/>
        <v>36.477</v>
      </c>
      <c r="J15" s="10">
        <f t="shared" si="1"/>
        <v>729.54</v>
      </c>
      <c r="K15" s="7" t="s">
        <v>57</v>
      </c>
      <c r="V15" s="7" t="s">
        <v>52</v>
      </c>
      <c r="W15" s="7" t="s">
        <v>98</v>
      </c>
      <c r="X15" s="7" t="s">
        <v>96</v>
      </c>
      <c r="Z15" s="7" t="s">
        <v>99</v>
      </c>
      <c r="AA15" s="7">
        <v>0.07</v>
      </c>
      <c r="AB15" s="7">
        <v>1.54</v>
      </c>
      <c r="AC15" s="7">
        <v>0.013</v>
      </c>
      <c r="AD15" s="7">
        <v>0.002</v>
      </c>
      <c r="AE15" s="7">
        <v>0.239</v>
      </c>
      <c r="AF15" s="7">
        <v>0.12</v>
      </c>
      <c r="AG15" s="7">
        <v>0.03</v>
      </c>
      <c r="AH15" s="7">
        <v>0.59</v>
      </c>
      <c r="AI15" s="7">
        <v>0.01</v>
      </c>
      <c r="AJ15" s="7">
        <v>0.005</v>
      </c>
      <c r="AK15" s="7">
        <v>0.04</v>
      </c>
      <c r="AL15" s="7">
        <v>0.006</v>
      </c>
      <c r="AM15" s="7">
        <v>0.034</v>
      </c>
      <c r="AN15" s="7">
        <v>0.013</v>
      </c>
      <c r="AO15" s="7">
        <v>0.0002</v>
      </c>
      <c r="AP15" s="7">
        <v>0.0069</v>
      </c>
      <c r="AQ15" s="7">
        <v>0.0014</v>
      </c>
    </row>
    <row r="16" ht="30" customHeight="1">
      <c r="A16" s="6">
        <v>5651365</v>
      </c>
      <c r="C16" s="7" t="s">
        <v>51</v>
      </c>
      <c r="D16" s="7" t="s">
        <v>44</v>
      </c>
      <c r="E16" s="6">
        <v>0.101</v>
      </c>
      <c r="F16" s="7" t="s">
        <v>63</v>
      </c>
      <c r="G16" s="8">
        <v>61.97</v>
      </c>
      <c r="H16" s="9">
        <v>51480</v>
      </c>
      <c r="I16" s="10">
        <f t="shared" si="0"/>
        <v>25.74</v>
      </c>
      <c r="J16" s="10">
        <f t="shared" si="1"/>
        <v>514.8</v>
      </c>
      <c r="K16" s="7" t="s">
        <v>64</v>
      </c>
      <c r="V16" s="7" t="s">
        <v>47</v>
      </c>
      <c r="W16" s="7" t="s">
        <v>78</v>
      </c>
      <c r="X16" s="7" t="s">
        <v>100</v>
      </c>
      <c r="Z16" s="7" t="s">
        <v>101</v>
      </c>
      <c r="AA16" s="7">
        <v>0.05</v>
      </c>
      <c r="AB16" s="7">
        <v>0.35</v>
      </c>
      <c r="AC16" s="7">
        <v>0.011</v>
      </c>
      <c r="AD16" s="7">
        <v>0.002</v>
      </c>
      <c r="AE16" s="7">
        <v>0.021</v>
      </c>
      <c r="AF16" s="7">
        <v>0.1</v>
      </c>
      <c r="AG16" s="7">
        <v>0.02</v>
      </c>
      <c r="AH16" s="7">
        <v>0.06</v>
      </c>
      <c r="AI16" s="7">
        <v>0.02</v>
      </c>
      <c r="AJ16" s="7">
        <v>0.004</v>
      </c>
      <c r="AK16" s="7">
        <v>0.024</v>
      </c>
      <c r="AL16" s="7">
        <v>0.002</v>
      </c>
      <c r="AM16" s="7">
        <v>0.001</v>
      </c>
      <c r="AN16" s="7">
        <v>0.001</v>
      </c>
      <c r="AO16" s="7">
        <v>0.0001</v>
      </c>
      <c r="AP16" s="7">
        <v>0.0052</v>
      </c>
      <c r="AQ16" s="7">
        <v>0.0007</v>
      </c>
    </row>
    <row r="17" ht="30" customHeight="1">
      <c r="A17" s="6">
        <v>5651363</v>
      </c>
      <c r="C17" s="7" t="s">
        <v>51</v>
      </c>
      <c r="D17" s="7" t="s">
        <v>44</v>
      </c>
      <c r="E17" s="6">
        <v>0.101</v>
      </c>
      <c r="F17" s="7" t="s">
        <v>63</v>
      </c>
      <c r="G17" s="8">
        <v>62.05</v>
      </c>
      <c r="H17" s="9">
        <v>51420</v>
      </c>
      <c r="I17" s="10">
        <f t="shared" si="0"/>
        <v>25.71</v>
      </c>
      <c r="J17" s="10">
        <f t="shared" si="1"/>
        <v>514.2</v>
      </c>
      <c r="K17" s="7" t="s">
        <v>64</v>
      </c>
      <c r="V17" s="7" t="s">
        <v>47</v>
      </c>
      <c r="W17" s="7" t="s">
        <v>78</v>
      </c>
      <c r="X17" s="7" t="s">
        <v>102</v>
      </c>
      <c r="Z17" s="7" t="s">
        <v>103</v>
      </c>
      <c r="AA17" s="7">
        <v>0.05</v>
      </c>
      <c r="AB17" s="7">
        <v>0.35</v>
      </c>
      <c r="AC17" s="7">
        <v>0.011</v>
      </c>
      <c r="AD17" s="7">
        <v>0.002</v>
      </c>
      <c r="AE17" s="7">
        <v>0.021</v>
      </c>
      <c r="AF17" s="7">
        <v>0.1</v>
      </c>
      <c r="AG17" s="7">
        <v>0.02</v>
      </c>
      <c r="AH17" s="7">
        <v>0.06</v>
      </c>
      <c r="AI17" s="7">
        <v>0.02</v>
      </c>
      <c r="AJ17" s="7">
        <v>0.004</v>
      </c>
      <c r="AK17" s="7">
        <v>0.024</v>
      </c>
      <c r="AL17" s="7">
        <v>0.002</v>
      </c>
      <c r="AM17" s="7">
        <v>0.001</v>
      </c>
      <c r="AN17" s="7">
        <v>0.001</v>
      </c>
      <c r="AO17" s="7">
        <v>0.0001</v>
      </c>
      <c r="AP17" s="7">
        <v>0.0052</v>
      </c>
      <c r="AQ17" s="7">
        <v>0.0007</v>
      </c>
    </row>
    <row r="18" ht="90" customHeight="1">
      <c r="A18" s="6">
        <v>5700844</v>
      </c>
      <c r="C18" s="7" t="s">
        <v>51</v>
      </c>
      <c r="D18" s="7" t="s">
        <v>44</v>
      </c>
      <c r="E18" s="6">
        <v>0.102</v>
      </c>
      <c r="F18" s="7" t="s">
        <v>45</v>
      </c>
      <c r="G18" s="8">
        <v>49.19</v>
      </c>
      <c r="H18" s="9">
        <v>47720</v>
      </c>
      <c r="I18" s="10">
        <f t="shared" si="0"/>
        <v>23.86</v>
      </c>
      <c r="J18" s="10">
        <f t="shared" si="1"/>
        <v>477.2</v>
      </c>
      <c r="K18" s="7" t="s">
        <v>46</v>
      </c>
      <c r="V18" s="7" t="s">
        <v>47</v>
      </c>
      <c r="W18" s="7" t="s">
        <v>82</v>
      </c>
      <c r="X18" s="7" t="s">
        <v>104</v>
      </c>
      <c r="Y18" s="7" t="s">
        <v>83</v>
      </c>
      <c r="Z18" s="7" t="s">
        <v>105</v>
      </c>
      <c r="AA18" s="7">
        <v>0.05</v>
      </c>
      <c r="AB18" s="7">
        <v>1.44</v>
      </c>
      <c r="AC18" s="7">
        <v>0.009</v>
      </c>
      <c r="AD18" s="7">
        <v>0.001</v>
      </c>
      <c r="AE18" s="7">
        <v>0.218</v>
      </c>
      <c r="AF18" s="7">
        <v>0.09</v>
      </c>
      <c r="AG18" s="7">
        <v>0.03</v>
      </c>
      <c r="AH18" s="7">
        <v>0.07</v>
      </c>
      <c r="AI18" s="7">
        <v>0.03</v>
      </c>
      <c r="AJ18" s="7">
        <v>0.006</v>
      </c>
      <c r="AK18" s="7">
        <v>0.062</v>
      </c>
      <c r="AL18" s="7">
        <v>0.015</v>
      </c>
      <c r="AM18" s="7">
        <v>0.04</v>
      </c>
      <c r="AN18" s="7">
        <v>0.121</v>
      </c>
      <c r="AO18" s="7">
        <v>0.0003</v>
      </c>
      <c r="AP18" s="7">
        <v>0.0068</v>
      </c>
      <c r="AQ18" s="7">
        <v>0.0018</v>
      </c>
    </row>
    <row r="19" ht="45" customHeight="1">
      <c r="A19" s="6">
        <v>5675224</v>
      </c>
      <c r="C19" s="7" t="s">
        <v>51</v>
      </c>
      <c r="D19" s="7" t="s">
        <v>44</v>
      </c>
      <c r="E19" s="6">
        <v>0.104</v>
      </c>
      <c r="F19" s="7" t="s">
        <v>45</v>
      </c>
      <c r="G19" s="8">
        <v>52.2</v>
      </c>
      <c r="H19" s="9">
        <v>42420</v>
      </c>
      <c r="I19" s="10">
        <f t="shared" si="0"/>
        <v>21.21</v>
      </c>
      <c r="J19" s="10">
        <f t="shared" si="1"/>
        <v>424.2</v>
      </c>
      <c r="K19" s="7" t="s">
        <v>57</v>
      </c>
      <c r="V19" s="7" t="s">
        <v>58</v>
      </c>
      <c r="W19" s="7" t="s">
        <v>106</v>
      </c>
      <c r="X19" s="7" t="s">
        <v>107</v>
      </c>
      <c r="Z19" s="7" t="s">
        <v>108</v>
      </c>
      <c r="AA19" s="7">
        <v>0.07</v>
      </c>
      <c r="AB19" s="7">
        <v>1.55</v>
      </c>
      <c r="AC19" s="7">
        <v>0.01</v>
      </c>
      <c r="AD19" s="7">
        <v>0.001</v>
      </c>
      <c r="AE19" s="7">
        <v>0.245</v>
      </c>
      <c r="AF19" s="7">
        <v>0.11</v>
      </c>
      <c r="AG19" s="7">
        <v>0.03</v>
      </c>
      <c r="AH19" s="7">
        <v>0.55</v>
      </c>
      <c r="AI19" s="7">
        <v>0.01</v>
      </c>
      <c r="AJ19" s="7">
        <v>0.002</v>
      </c>
      <c r="AK19" s="7">
        <v>0.042</v>
      </c>
      <c r="AL19" s="7">
        <v>0.006</v>
      </c>
      <c r="AM19" s="7">
        <v>0.037</v>
      </c>
      <c r="AN19" s="7">
        <v>0.012</v>
      </c>
      <c r="AO19" s="7">
        <v>0.0002</v>
      </c>
      <c r="AP19" s="7">
        <v>0.0064</v>
      </c>
      <c r="AQ19" s="7">
        <v>0.0017</v>
      </c>
    </row>
    <row r="20" ht="30" customHeight="1">
      <c r="A20" s="6">
        <v>5635218</v>
      </c>
      <c r="C20" s="7" t="s">
        <v>51</v>
      </c>
      <c r="D20" s="7" t="s">
        <v>44</v>
      </c>
      <c r="E20" s="6">
        <v>0.11</v>
      </c>
      <c r="F20" s="7" t="s">
        <v>45</v>
      </c>
      <c r="G20" s="8">
        <v>46.43</v>
      </c>
      <c r="H20" s="9">
        <v>46820</v>
      </c>
      <c r="I20" s="10">
        <f t="shared" si="0"/>
        <v>23.41</v>
      </c>
      <c r="J20" s="10">
        <f t="shared" si="1"/>
        <v>468.2</v>
      </c>
      <c r="K20" s="7" t="s">
        <v>57</v>
      </c>
      <c r="V20" s="7" t="s">
        <v>58</v>
      </c>
      <c r="W20" s="7" t="s">
        <v>109</v>
      </c>
      <c r="X20" s="7" t="s">
        <v>110</v>
      </c>
      <c r="Y20" s="7" t="s">
        <v>50</v>
      </c>
      <c r="Z20" s="7" t="s">
        <v>111</v>
      </c>
      <c r="AA20" s="7">
        <v>0.07</v>
      </c>
      <c r="AB20" s="7">
        <v>1.6</v>
      </c>
      <c r="AC20" s="7">
        <v>0.015</v>
      </c>
      <c r="AD20" s="7">
        <v>0.001</v>
      </c>
      <c r="AE20" s="7">
        <v>0.271</v>
      </c>
      <c r="AF20" s="7">
        <v>0.12</v>
      </c>
      <c r="AG20" s="7">
        <v>0.04</v>
      </c>
      <c r="AH20" s="7">
        <v>0.58</v>
      </c>
      <c r="AI20" s="7">
        <v>0.02</v>
      </c>
      <c r="AJ20" s="7">
        <v>0.003</v>
      </c>
      <c r="AK20" s="7">
        <v>0.04</v>
      </c>
      <c r="AL20" s="7">
        <v>0.008</v>
      </c>
      <c r="AM20" s="7">
        <v>0.037</v>
      </c>
      <c r="AN20" s="7">
        <v>0.016</v>
      </c>
      <c r="AO20" s="7">
        <v>0.0003</v>
      </c>
      <c r="AP20" s="7">
        <v>0.0064</v>
      </c>
      <c r="AQ20" s="7">
        <v>0.0039</v>
      </c>
    </row>
    <row r="21" ht="30" customHeight="1">
      <c r="A21" s="6">
        <v>5489913</v>
      </c>
      <c r="C21" s="7" t="s">
        <v>43</v>
      </c>
      <c r="D21" s="7" t="s">
        <v>44</v>
      </c>
      <c r="E21" s="6">
        <v>0.12</v>
      </c>
      <c r="F21" s="7" t="s">
        <v>63</v>
      </c>
      <c r="G21" s="8">
        <v>42.21</v>
      </c>
      <c r="H21" s="9">
        <v>33780</v>
      </c>
      <c r="I21" s="10">
        <f t="shared" si="0"/>
        <v>16.89</v>
      </c>
      <c r="J21" s="10">
        <f t="shared" si="1"/>
        <v>337.8</v>
      </c>
      <c r="K21" s="7" t="s">
        <v>112</v>
      </c>
      <c r="V21" s="7" t="s">
        <v>47</v>
      </c>
      <c r="W21" s="7" t="s">
        <v>113</v>
      </c>
      <c r="X21" s="7" t="s">
        <v>114</v>
      </c>
      <c r="Y21" s="7" t="s">
        <v>115</v>
      </c>
      <c r="AA21" s="7">
        <v>0.07</v>
      </c>
      <c r="AB21" s="7">
        <v>1.45</v>
      </c>
      <c r="AC21" s="7">
        <v>0.011</v>
      </c>
      <c r="AD21" s="7">
        <v>0</v>
      </c>
      <c r="AE21" s="7">
        <v>0.231</v>
      </c>
      <c r="AF21" s="7">
        <v>0.11</v>
      </c>
      <c r="AG21" s="7">
        <v>0.04</v>
      </c>
      <c r="AH21" s="7">
        <v>0.73</v>
      </c>
      <c r="AI21" s="7">
        <v>0.18</v>
      </c>
      <c r="AJ21" s="7">
        <v>0.003</v>
      </c>
      <c r="AK21" s="7">
        <v>0.034</v>
      </c>
      <c r="AL21" s="7">
        <v>0.006</v>
      </c>
      <c r="AM21" s="7">
        <v>0.002</v>
      </c>
      <c r="AN21" s="7">
        <v>0.002</v>
      </c>
      <c r="AO21" s="7">
        <v>0.0001</v>
      </c>
      <c r="AP21" s="7">
        <v>0.0067</v>
      </c>
      <c r="AQ21" s="7">
        <v>0.0017</v>
      </c>
    </row>
    <row r="22" ht="30" customHeight="1">
      <c r="A22" s="6">
        <v>5489912</v>
      </c>
      <c r="C22" s="7" t="s">
        <v>51</v>
      </c>
      <c r="D22" s="7" t="s">
        <v>44</v>
      </c>
      <c r="E22" s="6">
        <v>0.12</v>
      </c>
      <c r="F22" s="7" t="s">
        <v>63</v>
      </c>
      <c r="G22" s="8">
        <v>42.21</v>
      </c>
      <c r="H22" s="9">
        <v>42200</v>
      </c>
      <c r="I22" s="10">
        <f t="shared" si="0"/>
        <v>21.1</v>
      </c>
      <c r="J22" s="10">
        <f t="shared" si="1"/>
        <v>422</v>
      </c>
      <c r="K22" s="7" t="s">
        <v>112</v>
      </c>
      <c r="V22" s="7" t="s">
        <v>58</v>
      </c>
      <c r="W22" s="7" t="s">
        <v>116</v>
      </c>
      <c r="X22" s="7" t="s">
        <v>117</v>
      </c>
      <c r="Y22" s="7" t="s">
        <v>118</v>
      </c>
      <c r="AA22" s="7">
        <v>0.07</v>
      </c>
      <c r="AB22" s="7">
        <v>1.41</v>
      </c>
      <c r="AC22" s="7">
        <v>0.01</v>
      </c>
      <c r="AD22" s="7">
        <v>0.001</v>
      </c>
      <c r="AE22" s="7">
        <v>0.237</v>
      </c>
      <c r="AF22" s="7">
        <v>0.1</v>
      </c>
      <c r="AG22" s="7">
        <v>0.03</v>
      </c>
      <c r="AH22" s="7">
        <v>0.72</v>
      </c>
      <c r="AI22" s="7">
        <v>0.17</v>
      </c>
      <c r="AJ22" s="7">
        <v>0.003</v>
      </c>
      <c r="AK22" s="7">
        <v>0.031</v>
      </c>
      <c r="AL22" s="7">
        <v>0.004</v>
      </c>
      <c r="AM22" s="7">
        <v>0.001</v>
      </c>
      <c r="AN22" s="7">
        <v>0.002</v>
      </c>
      <c r="AO22" s="7">
        <v>0.0001</v>
      </c>
      <c r="AP22" s="7">
        <v>0.0064</v>
      </c>
      <c r="AQ22" s="7">
        <v>0.0016</v>
      </c>
    </row>
    <row r="23" ht="15" customHeight="1">
      <c r="A23" s="6">
        <v>5455276</v>
      </c>
      <c r="C23" s="7" t="s">
        <v>51</v>
      </c>
      <c r="D23" s="7" t="s">
        <v>44</v>
      </c>
      <c r="E23" s="6">
        <v>0.12</v>
      </c>
      <c r="F23" s="7" t="s">
        <v>63</v>
      </c>
      <c r="G23" s="8">
        <v>42.21</v>
      </c>
      <c r="H23" s="9">
        <v>42220</v>
      </c>
      <c r="I23" s="10">
        <f t="shared" si="0"/>
        <v>21.11</v>
      </c>
      <c r="J23" s="10">
        <f t="shared" si="1"/>
        <v>422.2</v>
      </c>
      <c r="K23" s="7" t="s">
        <v>112</v>
      </c>
      <c r="V23" s="7" t="s">
        <v>58</v>
      </c>
      <c r="W23" s="7" t="s">
        <v>116</v>
      </c>
      <c r="X23" s="7" t="s">
        <v>119</v>
      </c>
      <c r="AA23" s="7">
        <v>0.07</v>
      </c>
      <c r="AB23" s="7">
        <v>1.41</v>
      </c>
      <c r="AC23" s="7">
        <v>0.01</v>
      </c>
      <c r="AD23" s="7">
        <v>0.001</v>
      </c>
      <c r="AE23" s="7">
        <v>0.237</v>
      </c>
      <c r="AF23" s="7">
        <v>0.1</v>
      </c>
      <c r="AG23" s="7">
        <v>0.03</v>
      </c>
      <c r="AH23" s="7">
        <v>0.72</v>
      </c>
      <c r="AI23" s="7">
        <v>0.17</v>
      </c>
      <c r="AJ23" s="7">
        <v>0.003</v>
      </c>
      <c r="AK23" s="7">
        <v>0.031</v>
      </c>
      <c r="AL23" s="7">
        <v>0.004</v>
      </c>
      <c r="AM23" s="7">
        <v>0.001</v>
      </c>
      <c r="AN23" s="7">
        <v>0.002</v>
      </c>
      <c r="AO23" s="7">
        <v>0.0001</v>
      </c>
      <c r="AP23" s="7">
        <v>0.0064</v>
      </c>
      <c r="AQ23" s="7">
        <v>0.0016</v>
      </c>
    </row>
    <row r="24" ht="15" customHeight="1">
      <c r="A24" s="6">
        <v>5455274</v>
      </c>
      <c r="C24" s="7" t="s">
        <v>51</v>
      </c>
      <c r="D24" s="7" t="s">
        <v>44</v>
      </c>
      <c r="E24" s="6">
        <v>0.12</v>
      </c>
      <c r="F24" s="7" t="s">
        <v>63</v>
      </c>
      <c r="G24" s="8">
        <v>42.22</v>
      </c>
      <c r="H24" s="9">
        <v>42220</v>
      </c>
      <c r="I24" s="10">
        <f t="shared" si="0"/>
        <v>21.11</v>
      </c>
      <c r="J24" s="10">
        <f t="shared" si="1"/>
        <v>422.2</v>
      </c>
      <c r="K24" s="7" t="s">
        <v>112</v>
      </c>
      <c r="V24" s="7" t="s">
        <v>58</v>
      </c>
      <c r="W24" s="7" t="s">
        <v>120</v>
      </c>
      <c r="X24" s="7" t="s">
        <v>107</v>
      </c>
      <c r="Y24" s="7" t="s">
        <v>118</v>
      </c>
      <c r="AA24" s="7">
        <v>0.07</v>
      </c>
      <c r="AB24" s="7">
        <v>1.41</v>
      </c>
      <c r="AC24" s="7">
        <v>0.01</v>
      </c>
      <c r="AD24" s="7">
        <v>0.001</v>
      </c>
      <c r="AE24" s="7">
        <v>0.237</v>
      </c>
      <c r="AF24" s="7">
        <v>0.1</v>
      </c>
      <c r="AG24" s="7">
        <v>0.03</v>
      </c>
      <c r="AH24" s="7">
        <v>0.72</v>
      </c>
      <c r="AI24" s="7">
        <v>0.17</v>
      </c>
      <c r="AJ24" s="7">
        <v>0.003</v>
      </c>
      <c r="AK24" s="7">
        <v>0.031</v>
      </c>
      <c r="AL24" s="7">
        <v>0.004</v>
      </c>
      <c r="AM24" s="7">
        <v>0.001</v>
      </c>
      <c r="AN24" s="7">
        <v>0.002</v>
      </c>
      <c r="AO24" s="7">
        <v>0.0001</v>
      </c>
      <c r="AP24" s="7">
        <v>0.0064</v>
      </c>
      <c r="AQ24" s="7">
        <v>0.0016</v>
      </c>
    </row>
    <row r="25" ht="15" customHeight="1">
      <c r="A25" s="6">
        <v>5455277</v>
      </c>
      <c r="C25" s="7" t="s">
        <v>51</v>
      </c>
      <c r="D25" s="7" t="s">
        <v>44</v>
      </c>
      <c r="E25" s="6">
        <v>0.12</v>
      </c>
      <c r="F25" s="7" t="s">
        <v>63</v>
      </c>
      <c r="G25" s="8">
        <v>42.23</v>
      </c>
      <c r="H25" s="9">
        <v>42020</v>
      </c>
      <c r="I25" s="10">
        <f t="shared" si="0"/>
        <v>21.01</v>
      </c>
      <c r="J25" s="10">
        <f t="shared" si="1"/>
        <v>420.2</v>
      </c>
      <c r="K25" s="7" t="s">
        <v>112</v>
      </c>
      <c r="V25" s="7" t="s">
        <v>58</v>
      </c>
      <c r="W25" s="7" t="s">
        <v>116</v>
      </c>
      <c r="X25" s="7" t="s">
        <v>119</v>
      </c>
      <c r="AA25" s="7">
        <v>0.07</v>
      </c>
      <c r="AB25" s="7">
        <v>1.45</v>
      </c>
      <c r="AC25" s="7">
        <v>0.011</v>
      </c>
      <c r="AD25" s="7">
        <v>0</v>
      </c>
      <c r="AE25" s="7">
        <v>0.231</v>
      </c>
      <c r="AF25" s="7">
        <v>0.11</v>
      </c>
      <c r="AG25" s="7">
        <v>0.04</v>
      </c>
      <c r="AH25" s="7">
        <v>0.73</v>
      </c>
      <c r="AI25" s="7">
        <v>0.18</v>
      </c>
      <c r="AJ25" s="7">
        <v>0.003</v>
      </c>
      <c r="AK25" s="7">
        <v>0.034</v>
      </c>
      <c r="AL25" s="7">
        <v>0.006</v>
      </c>
      <c r="AM25" s="7">
        <v>0.002</v>
      </c>
      <c r="AN25" s="7">
        <v>0.002</v>
      </c>
      <c r="AO25" s="7">
        <v>0.0001</v>
      </c>
      <c r="AP25" s="7">
        <v>0.0067</v>
      </c>
      <c r="AQ25" s="7">
        <v>0.0017</v>
      </c>
    </row>
    <row r="26" ht="15" customHeight="1">
      <c r="A26" s="6">
        <v>5489911</v>
      </c>
      <c r="C26" s="7" t="s">
        <v>51</v>
      </c>
      <c r="D26" s="7" t="s">
        <v>44</v>
      </c>
      <c r="E26" s="6">
        <v>0.12</v>
      </c>
      <c r="F26" s="7" t="s">
        <v>63</v>
      </c>
      <c r="G26" s="8">
        <v>42.23</v>
      </c>
      <c r="H26" s="9">
        <v>42120</v>
      </c>
      <c r="I26" s="10">
        <f t="shared" si="0"/>
        <v>21.06</v>
      </c>
      <c r="J26" s="10">
        <f t="shared" si="1"/>
        <v>421.2</v>
      </c>
      <c r="K26" s="7" t="s">
        <v>112</v>
      </c>
      <c r="V26" s="7" t="s">
        <v>58</v>
      </c>
      <c r="W26" s="7" t="s">
        <v>116</v>
      </c>
      <c r="X26" s="7" t="s">
        <v>119</v>
      </c>
      <c r="AA26" s="7">
        <v>0.07</v>
      </c>
      <c r="AB26" s="7">
        <v>1.45</v>
      </c>
      <c r="AC26" s="7">
        <v>0.011</v>
      </c>
      <c r="AD26" s="7">
        <v>0</v>
      </c>
      <c r="AE26" s="7">
        <v>0.231</v>
      </c>
      <c r="AF26" s="7">
        <v>0.11</v>
      </c>
      <c r="AG26" s="7">
        <v>0.04</v>
      </c>
      <c r="AH26" s="7">
        <v>0.73</v>
      </c>
      <c r="AI26" s="7">
        <v>0.18</v>
      </c>
      <c r="AJ26" s="7">
        <v>0.003</v>
      </c>
      <c r="AK26" s="7">
        <v>0.034</v>
      </c>
      <c r="AL26" s="7">
        <v>0.006</v>
      </c>
      <c r="AM26" s="7">
        <v>0.002</v>
      </c>
      <c r="AN26" s="7">
        <v>0.002</v>
      </c>
      <c r="AO26" s="7">
        <v>0.0001</v>
      </c>
      <c r="AP26" s="7">
        <v>0.0067</v>
      </c>
      <c r="AQ26" s="7">
        <v>0.0017</v>
      </c>
    </row>
    <row r="27" ht="15" customHeight="1">
      <c r="A27" s="6">
        <v>5489910</v>
      </c>
      <c r="C27" s="7" t="s">
        <v>51</v>
      </c>
      <c r="D27" s="7" t="s">
        <v>44</v>
      </c>
      <c r="E27" s="6">
        <v>0.12</v>
      </c>
      <c r="F27" s="7" t="s">
        <v>63</v>
      </c>
      <c r="G27" s="8">
        <v>42.23</v>
      </c>
      <c r="H27" s="9">
        <v>42220</v>
      </c>
      <c r="I27" s="10">
        <f t="shared" si="0"/>
        <v>21.11</v>
      </c>
      <c r="J27" s="10">
        <f t="shared" si="1"/>
        <v>422.2</v>
      </c>
      <c r="K27" s="7" t="s">
        <v>112</v>
      </c>
      <c r="V27" s="7" t="s">
        <v>58</v>
      </c>
      <c r="W27" s="7" t="s">
        <v>116</v>
      </c>
      <c r="X27" s="7" t="s">
        <v>119</v>
      </c>
      <c r="AA27" s="7">
        <v>0.07</v>
      </c>
      <c r="AB27" s="7">
        <v>1.41</v>
      </c>
      <c r="AC27" s="7">
        <v>0.01</v>
      </c>
      <c r="AD27" s="7">
        <v>0.001</v>
      </c>
      <c r="AE27" s="7">
        <v>0.237</v>
      </c>
      <c r="AF27" s="7">
        <v>0.1</v>
      </c>
      <c r="AG27" s="7">
        <v>0.03</v>
      </c>
      <c r="AH27" s="7">
        <v>0.72</v>
      </c>
      <c r="AI27" s="7">
        <v>0.17</v>
      </c>
      <c r="AJ27" s="7">
        <v>0.003</v>
      </c>
      <c r="AK27" s="7">
        <v>0.031</v>
      </c>
      <c r="AL27" s="7">
        <v>0.004</v>
      </c>
      <c r="AM27" s="7">
        <v>0.001</v>
      </c>
      <c r="AN27" s="7">
        <v>0.002</v>
      </c>
      <c r="AO27" s="7">
        <v>0.0001</v>
      </c>
      <c r="AP27" s="7">
        <v>0.0064</v>
      </c>
      <c r="AQ27" s="7">
        <v>0.0016</v>
      </c>
    </row>
    <row r="28" ht="60" customHeight="1">
      <c r="A28" s="6">
        <v>5682304</v>
      </c>
      <c r="C28" s="7" t="s">
        <v>51</v>
      </c>
      <c r="D28" s="7" t="s">
        <v>44</v>
      </c>
      <c r="E28" s="6">
        <v>0.12</v>
      </c>
      <c r="F28" s="7" t="s">
        <v>45</v>
      </c>
      <c r="G28" s="8">
        <v>42.37</v>
      </c>
      <c r="H28" s="9">
        <v>42540</v>
      </c>
      <c r="I28" s="10">
        <f t="shared" si="0"/>
        <v>21.27</v>
      </c>
      <c r="J28" s="10">
        <f t="shared" si="1"/>
        <v>425.4</v>
      </c>
      <c r="K28" s="7" t="s">
        <v>121</v>
      </c>
      <c r="V28" s="7" t="s">
        <v>58</v>
      </c>
      <c r="W28" s="7" t="s">
        <v>106</v>
      </c>
      <c r="X28" s="7" t="s">
        <v>93</v>
      </c>
      <c r="Y28" s="7" t="s">
        <v>96</v>
      </c>
      <c r="Z28" s="7" t="s">
        <v>122</v>
      </c>
      <c r="AA28" s="7">
        <v>0.07</v>
      </c>
      <c r="AB28" s="7">
        <v>1.55</v>
      </c>
      <c r="AC28" s="7">
        <v>0.015</v>
      </c>
      <c r="AD28" s="7">
        <v>0.001</v>
      </c>
      <c r="AE28" s="7">
        <v>0.258</v>
      </c>
      <c r="AF28" s="7">
        <v>0.12</v>
      </c>
      <c r="AG28" s="7">
        <v>0.03</v>
      </c>
      <c r="AH28" s="7">
        <v>0.61</v>
      </c>
      <c r="AI28" s="7">
        <v>0.01</v>
      </c>
      <c r="AJ28" s="7">
        <v>0.004</v>
      </c>
      <c r="AK28" s="7">
        <v>0.039</v>
      </c>
      <c r="AL28" s="7">
        <v>0.006</v>
      </c>
      <c r="AM28" s="7">
        <v>0.011</v>
      </c>
      <c r="AN28" s="7">
        <v>0.012</v>
      </c>
      <c r="AO28" s="7">
        <v>0.0002</v>
      </c>
      <c r="AP28" s="7">
        <v>0.0066</v>
      </c>
      <c r="AQ28" s="7">
        <v>0.0015</v>
      </c>
    </row>
    <row r="29" ht="60" customHeight="1">
      <c r="A29" s="6">
        <v>5682292</v>
      </c>
      <c r="C29" s="7" t="s">
        <v>51</v>
      </c>
      <c r="D29" s="7" t="s">
        <v>44</v>
      </c>
      <c r="E29" s="6">
        <v>0.12</v>
      </c>
      <c r="F29" s="7" t="s">
        <v>63</v>
      </c>
      <c r="G29" s="8">
        <v>42.58</v>
      </c>
      <c r="H29" s="9">
        <v>42500</v>
      </c>
      <c r="I29" s="10">
        <f t="shared" si="0"/>
        <v>21.25</v>
      </c>
      <c r="J29" s="10">
        <f t="shared" si="1"/>
        <v>425</v>
      </c>
      <c r="K29" s="7" t="s">
        <v>121</v>
      </c>
      <c r="V29" s="7" t="s">
        <v>58</v>
      </c>
      <c r="W29" s="7" t="s">
        <v>59</v>
      </c>
      <c r="X29" s="7" t="s">
        <v>110</v>
      </c>
      <c r="Y29" s="7" t="s">
        <v>123</v>
      </c>
      <c r="Z29" s="7" t="s">
        <v>124</v>
      </c>
      <c r="AA29" s="7">
        <v>0.07</v>
      </c>
      <c r="AB29" s="7">
        <v>1.58</v>
      </c>
      <c r="AC29" s="7">
        <v>0.011</v>
      </c>
      <c r="AD29" s="7">
        <v>0.001</v>
      </c>
      <c r="AE29" s="7">
        <v>0.273</v>
      </c>
      <c r="AF29" s="7">
        <v>0.12</v>
      </c>
      <c r="AG29" s="7">
        <v>0.04</v>
      </c>
      <c r="AH29" s="7">
        <v>0.57</v>
      </c>
      <c r="AI29" s="7">
        <v>0.01</v>
      </c>
      <c r="AJ29" s="7">
        <v>0.003</v>
      </c>
      <c r="AK29" s="7">
        <v>0.031</v>
      </c>
      <c r="AL29" s="7">
        <v>0.006</v>
      </c>
      <c r="AM29" s="7">
        <v>0.013</v>
      </c>
      <c r="AN29" s="7">
        <v>0.012</v>
      </c>
      <c r="AO29" s="7">
        <v>0.0002</v>
      </c>
      <c r="AP29" s="7">
        <v>0.0073</v>
      </c>
      <c r="AQ29" s="7">
        <v>0.0017</v>
      </c>
    </row>
    <row r="30" ht="60" customHeight="1">
      <c r="A30" s="6">
        <v>5691005</v>
      </c>
      <c r="C30" s="7" t="s">
        <v>51</v>
      </c>
      <c r="D30" s="7" t="s">
        <v>44</v>
      </c>
      <c r="E30" s="6">
        <v>0.12</v>
      </c>
      <c r="F30" s="7" t="s">
        <v>45</v>
      </c>
      <c r="G30" s="8">
        <v>61.6</v>
      </c>
      <c r="H30" s="9">
        <v>73360</v>
      </c>
      <c r="I30" s="10">
        <f t="shared" si="0"/>
        <v>36.68</v>
      </c>
      <c r="J30" s="10">
        <f t="shared" si="1"/>
        <v>733.6</v>
      </c>
      <c r="K30" s="7" t="s">
        <v>57</v>
      </c>
      <c r="V30" s="7" t="s">
        <v>52</v>
      </c>
      <c r="W30" s="7" t="s">
        <v>125</v>
      </c>
      <c r="X30" s="7" t="s">
        <v>95</v>
      </c>
      <c r="Y30" s="7" t="s">
        <v>126</v>
      </c>
      <c r="Z30" s="7" t="s">
        <v>127</v>
      </c>
      <c r="AA30" s="7">
        <v>0.07</v>
      </c>
      <c r="AB30" s="7">
        <v>1.71</v>
      </c>
      <c r="AC30" s="7">
        <v>0.022</v>
      </c>
      <c r="AD30" s="7">
        <v>0.001</v>
      </c>
      <c r="AE30" s="7">
        <v>0.319</v>
      </c>
      <c r="AF30" s="7">
        <v>0.11</v>
      </c>
      <c r="AG30" s="7">
        <v>0.03</v>
      </c>
      <c r="AH30" s="7">
        <v>0.62</v>
      </c>
      <c r="AI30" s="7">
        <v>0.01</v>
      </c>
      <c r="AJ30" s="7">
        <v>0.003</v>
      </c>
      <c r="AK30" s="7">
        <v>0.032</v>
      </c>
      <c r="AL30" s="7">
        <v>0.012</v>
      </c>
      <c r="AM30" s="7">
        <v>0.04</v>
      </c>
      <c r="AN30" s="7">
        <v>0.009</v>
      </c>
      <c r="AO30" s="7">
        <v>0.0005</v>
      </c>
      <c r="AP30" s="7">
        <v>0.0047</v>
      </c>
      <c r="AQ30" s="7">
        <v>0.0014</v>
      </c>
    </row>
    <row r="31" ht="30" customHeight="1">
      <c r="A31" s="6">
        <v>5692909</v>
      </c>
      <c r="C31" s="7" t="s">
        <v>51</v>
      </c>
      <c r="D31" s="7" t="s">
        <v>44</v>
      </c>
      <c r="E31" s="6">
        <v>0.122</v>
      </c>
      <c r="F31" s="7" t="s">
        <v>45</v>
      </c>
      <c r="G31" s="8">
        <v>54.45</v>
      </c>
      <c r="H31" s="9">
        <v>55357</v>
      </c>
      <c r="I31" s="10">
        <f t="shared" si="0"/>
        <v>27.6785</v>
      </c>
      <c r="J31" s="10">
        <f t="shared" si="1"/>
        <v>553.57</v>
      </c>
      <c r="K31" s="7" t="s">
        <v>128</v>
      </c>
      <c r="V31" s="7" t="s">
        <v>47</v>
      </c>
      <c r="W31" s="7" t="s">
        <v>98</v>
      </c>
      <c r="X31" s="7" t="s">
        <v>129</v>
      </c>
      <c r="Z31" s="7" t="s">
        <v>130</v>
      </c>
      <c r="AA31" s="7">
        <v>0.05</v>
      </c>
      <c r="AB31" s="7">
        <v>0.71</v>
      </c>
      <c r="AC31" s="7">
        <v>0.011</v>
      </c>
      <c r="AD31" s="7">
        <v>0.002</v>
      </c>
      <c r="AE31" s="7">
        <v>0.183</v>
      </c>
      <c r="AF31" s="7">
        <v>0.12</v>
      </c>
      <c r="AG31" s="7">
        <v>0.03</v>
      </c>
      <c r="AH31" s="7">
        <v>0.04</v>
      </c>
      <c r="AI31" s="7">
        <v>0.01</v>
      </c>
      <c r="AJ31" s="7">
        <v>0.005</v>
      </c>
      <c r="AK31" s="7">
        <v>0.052</v>
      </c>
      <c r="AL31" s="7">
        <v>0.005</v>
      </c>
      <c r="AM31" s="7">
        <v>0.001</v>
      </c>
      <c r="AN31" s="7">
        <v>0.069</v>
      </c>
      <c r="AO31" s="7">
        <v>0.0005</v>
      </c>
      <c r="AP31" s="7">
        <v>0.005</v>
      </c>
      <c r="AQ31" s="7">
        <v>0.0017</v>
      </c>
    </row>
    <row r="32" ht="30" customHeight="1">
      <c r="A32" s="6">
        <v>5655676</v>
      </c>
      <c r="C32" s="7" t="s">
        <v>51</v>
      </c>
      <c r="D32" s="7" t="s">
        <v>44</v>
      </c>
      <c r="E32" s="6">
        <v>0.127</v>
      </c>
      <c r="F32" s="7" t="s">
        <v>45</v>
      </c>
      <c r="G32" s="8">
        <v>47.44</v>
      </c>
      <c r="H32" s="9">
        <v>50880</v>
      </c>
      <c r="I32" s="10">
        <f t="shared" si="0"/>
        <v>25.44</v>
      </c>
      <c r="J32" s="10">
        <f t="shared" si="1"/>
        <v>508.8</v>
      </c>
      <c r="K32" s="7" t="s">
        <v>131</v>
      </c>
      <c r="V32" s="7" t="s">
        <v>47</v>
      </c>
      <c r="W32" s="7" t="s">
        <v>132</v>
      </c>
      <c r="X32" s="7" t="s">
        <v>116</v>
      </c>
      <c r="Z32" s="7" t="s">
        <v>133</v>
      </c>
      <c r="AA32" s="7">
        <v>0.07</v>
      </c>
      <c r="AB32" s="7">
        <v>1.9</v>
      </c>
      <c r="AC32" s="7">
        <v>0.011</v>
      </c>
      <c r="AD32" s="7">
        <v>0</v>
      </c>
      <c r="AE32" s="7">
        <v>0.281</v>
      </c>
      <c r="AF32" s="7">
        <v>0.12</v>
      </c>
      <c r="AG32" s="7">
        <v>0.03</v>
      </c>
      <c r="AH32" s="7">
        <v>0.79</v>
      </c>
      <c r="AI32" s="7">
        <v>0.33</v>
      </c>
      <c r="AJ32" s="7">
        <v>0.003</v>
      </c>
      <c r="AK32" s="7">
        <v>0.032</v>
      </c>
      <c r="AL32" s="7">
        <v>0.007</v>
      </c>
      <c r="AM32" s="7">
        <v>0.011</v>
      </c>
      <c r="AN32" s="7">
        <v>0.002</v>
      </c>
      <c r="AO32" s="7">
        <v>0.0001</v>
      </c>
      <c r="AP32" s="7">
        <v>0.0069</v>
      </c>
      <c r="AQ32" s="7">
        <v>0.0015</v>
      </c>
    </row>
    <row r="33" ht="30" customHeight="1">
      <c r="A33" s="6">
        <v>5655670</v>
      </c>
      <c r="C33" s="7" t="s">
        <v>51</v>
      </c>
      <c r="D33" s="7" t="s">
        <v>44</v>
      </c>
      <c r="E33" s="6">
        <v>0.127</v>
      </c>
      <c r="F33" s="7" t="s">
        <v>45</v>
      </c>
      <c r="G33" s="8">
        <v>47.77</v>
      </c>
      <c r="H33" s="9">
        <v>51080</v>
      </c>
      <c r="I33" s="10">
        <f t="shared" si="0"/>
        <v>25.54</v>
      </c>
      <c r="J33" s="10">
        <f t="shared" si="1"/>
        <v>510.8</v>
      </c>
      <c r="K33" s="7" t="s">
        <v>57</v>
      </c>
      <c r="V33" s="7" t="s">
        <v>47</v>
      </c>
      <c r="W33" s="7" t="s">
        <v>95</v>
      </c>
      <c r="X33" s="7" t="s">
        <v>134</v>
      </c>
      <c r="Y33" s="7" t="s">
        <v>50</v>
      </c>
      <c r="Z33" s="7" t="s">
        <v>135</v>
      </c>
      <c r="AA33" s="7">
        <v>0.07</v>
      </c>
      <c r="AB33" s="7">
        <v>1.58</v>
      </c>
      <c r="AC33" s="7">
        <v>0.01</v>
      </c>
      <c r="AD33" s="7">
        <v>0.001</v>
      </c>
      <c r="AE33" s="7">
        <v>0.253</v>
      </c>
      <c r="AF33" s="7">
        <v>0.13</v>
      </c>
      <c r="AG33" s="7">
        <v>0.03</v>
      </c>
      <c r="AH33" s="7">
        <v>0.64</v>
      </c>
      <c r="AI33" s="7">
        <v>0.02</v>
      </c>
      <c r="AJ33" s="7">
        <v>0.004</v>
      </c>
      <c r="AK33" s="7">
        <v>0.037</v>
      </c>
      <c r="AL33" s="7">
        <v>0.005</v>
      </c>
      <c r="AM33" s="7">
        <v>0.034</v>
      </c>
      <c r="AN33" s="7">
        <v>0.012</v>
      </c>
      <c r="AO33" s="7">
        <v>0.0001</v>
      </c>
      <c r="AP33" s="7">
        <v>0.0064</v>
      </c>
      <c r="AQ33" s="7">
        <v>0.0014</v>
      </c>
    </row>
    <row r="34" ht="30" customHeight="1">
      <c r="A34" s="6">
        <v>5691057</v>
      </c>
      <c r="C34" s="7" t="s">
        <v>51</v>
      </c>
      <c r="D34" s="7" t="s">
        <v>44</v>
      </c>
      <c r="E34" s="6">
        <v>0.127</v>
      </c>
      <c r="F34" s="7" t="s">
        <v>45</v>
      </c>
      <c r="G34" s="8">
        <v>53.12</v>
      </c>
      <c r="H34" s="9">
        <v>57157</v>
      </c>
      <c r="I34" s="10">
        <f t="shared" si="0"/>
        <v>28.5785</v>
      </c>
      <c r="J34" s="10">
        <f t="shared" si="1"/>
        <v>571.57</v>
      </c>
      <c r="K34" s="7" t="s">
        <v>57</v>
      </c>
      <c r="V34" s="7" t="s">
        <v>47</v>
      </c>
      <c r="W34" s="7" t="s">
        <v>95</v>
      </c>
      <c r="X34" s="7" t="s">
        <v>136</v>
      </c>
      <c r="Y34" s="7" t="s">
        <v>110</v>
      </c>
      <c r="Z34" s="7" t="s">
        <v>137</v>
      </c>
      <c r="AA34" s="7">
        <v>0.07</v>
      </c>
      <c r="AB34" s="7">
        <v>1.59</v>
      </c>
      <c r="AC34" s="7">
        <v>0.01</v>
      </c>
      <c r="AD34" s="7">
        <v>0</v>
      </c>
      <c r="AE34" s="7">
        <v>0.252</v>
      </c>
      <c r="AF34" s="7">
        <v>0.1</v>
      </c>
      <c r="AG34" s="7">
        <v>0.03</v>
      </c>
      <c r="AH34" s="7">
        <v>0.58</v>
      </c>
      <c r="AI34" s="7">
        <v>0.02</v>
      </c>
      <c r="AJ34" s="7">
        <v>0.002</v>
      </c>
      <c r="AK34" s="7">
        <v>0.036</v>
      </c>
      <c r="AL34" s="7">
        <v>0.006</v>
      </c>
      <c r="AM34" s="7">
        <v>0.037</v>
      </c>
      <c r="AN34" s="7">
        <v>0.012</v>
      </c>
      <c r="AO34" s="7">
        <v>0.0003</v>
      </c>
      <c r="AP34" s="7">
        <v>0.0062</v>
      </c>
      <c r="AQ34" s="7">
        <v>0.0012</v>
      </c>
    </row>
    <row r="35" ht="30" customHeight="1">
      <c r="A35" s="6">
        <v>5597610</v>
      </c>
      <c r="C35" s="7" t="s">
        <v>43</v>
      </c>
      <c r="D35" s="7" t="s">
        <v>44</v>
      </c>
      <c r="E35" s="6">
        <v>0.13</v>
      </c>
      <c r="F35" s="7" t="s">
        <v>45</v>
      </c>
      <c r="G35" s="8">
        <v>45.11</v>
      </c>
      <c r="H35" s="9">
        <v>46940</v>
      </c>
      <c r="I35" s="10">
        <f t="shared" si="0"/>
        <v>23.47</v>
      </c>
      <c r="J35" s="10">
        <f t="shared" si="1"/>
        <v>469.4</v>
      </c>
      <c r="K35" s="7" t="s">
        <v>138</v>
      </c>
      <c r="V35" s="7" t="s">
        <v>47</v>
      </c>
      <c r="W35" s="7" t="s">
        <v>139</v>
      </c>
      <c r="X35" s="7" t="s">
        <v>140</v>
      </c>
      <c r="Y35" s="7" t="s">
        <v>110</v>
      </c>
      <c r="Z35" s="7" t="s">
        <v>141</v>
      </c>
      <c r="AA35" s="7">
        <v>0.06</v>
      </c>
      <c r="AB35" s="7">
        <v>1.51</v>
      </c>
      <c r="AC35" s="7">
        <v>0.013</v>
      </c>
      <c r="AD35" s="7">
        <v>0</v>
      </c>
      <c r="AE35" s="7">
        <v>0.204</v>
      </c>
      <c r="AF35" s="7">
        <v>0.11</v>
      </c>
      <c r="AG35" s="7">
        <v>0.12</v>
      </c>
      <c r="AH35" s="7">
        <v>0.14</v>
      </c>
      <c r="AI35" s="7">
        <v>0.11</v>
      </c>
      <c r="AJ35" s="7">
        <v>0.005</v>
      </c>
      <c r="AK35" s="7">
        <v>0.061</v>
      </c>
      <c r="AL35" s="7">
        <v>0.01</v>
      </c>
      <c r="AM35" s="7">
        <v>0.045</v>
      </c>
      <c r="AN35" s="7">
        <v>0.101</v>
      </c>
      <c r="AO35" s="7">
        <v>0.0002</v>
      </c>
      <c r="AP35" s="7">
        <v>0.0078</v>
      </c>
      <c r="AQ35" s="7">
        <v>0.0013</v>
      </c>
    </row>
    <row r="36" ht="30" customHeight="1">
      <c r="A36" s="6">
        <v>5604643</v>
      </c>
      <c r="C36" s="7" t="s">
        <v>51</v>
      </c>
      <c r="D36" s="7" t="s">
        <v>44</v>
      </c>
      <c r="E36" s="6">
        <v>0.13</v>
      </c>
      <c r="F36" s="7" t="s">
        <v>63</v>
      </c>
      <c r="G36" s="8">
        <v>52.7</v>
      </c>
      <c r="H36" s="9">
        <v>55520</v>
      </c>
      <c r="I36" s="10">
        <f t="shared" si="0"/>
        <v>27.76</v>
      </c>
      <c r="J36" s="10">
        <f t="shared" si="1"/>
        <v>555.2</v>
      </c>
      <c r="K36" s="7" t="s">
        <v>142</v>
      </c>
      <c r="V36" s="7" t="s">
        <v>52</v>
      </c>
      <c r="W36" s="7" t="s">
        <v>98</v>
      </c>
      <c r="Z36" s="7" t="s">
        <v>143</v>
      </c>
      <c r="AA36" s="7">
        <v>0.05</v>
      </c>
      <c r="AB36" s="7">
        <v>0.56</v>
      </c>
      <c r="AC36" s="7">
        <v>0.066</v>
      </c>
      <c r="AD36" s="7">
        <v>0.002</v>
      </c>
      <c r="AE36" s="7">
        <v>0.286</v>
      </c>
      <c r="AF36" s="7">
        <v>0.12</v>
      </c>
      <c r="AG36" s="7">
        <v>0.04</v>
      </c>
      <c r="AH36" s="7">
        <v>0.05</v>
      </c>
      <c r="AI36" s="7">
        <v>0.02</v>
      </c>
      <c r="AJ36" s="7">
        <v>0.003</v>
      </c>
      <c r="AK36" s="7">
        <v>0.033</v>
      </c>
      <c r="AL36" s="7">
        <v>0.003</v>
      </c>
      <c r="AM36" s="7">
        <v>0.001</v>
      </c>
      <c r="AN36" s="7">
        <v>0.004</v>
      </c>
      <c r="AO36" s="7">
        <v>0.0004</v>
      </c>
      <c r="AP36" s="7">
        <v>0.0113</v>
      </c>
      <c r="AQ36" s="7">
        <v>0.0015</v>
      </c>
    </row>
    <row r="37" ht="30" customHeight="1">
      <c r="A37" s="6">
        <v>5678636</v>
      </c>
      <c r="C37" s="7" t="s">
        <v>51</v>
      </c>
      <c r="D37" s="7" t="s">
        <v>44</v>
      </c>
      <c r="E37" s="6">
        <v>0.13</v>
      </c>
      <c r="F37" s="7" t="s">
        <v>63</v>
      </c>
      <c r="G37" s="8">
        <v>54.78</v>
      </c>
      <c r="H37" s="9">
        <v>57640</v>
      </c>
      <c r="I37" s="10">
        <f t="shared" si="0"/>
        <v>28.82</v>
      </c>
      <c r="J37" s="10">
        <f t="shared" si="1"/>
        <v>576.4</v>
      </c>
      <c r="K37" s="7" t="s">
        <v>142</v>
      </c>
      <c r="V37" s="7" t="s">
        <v>58</v>
      </c>
      <c r="W37" s="7" t="s">
        <v>144</v>
      </c>
      <c r="Z37" s="7" t="s">
        <v>145</v>
      </c>
      <c r="AA37" s="7">
        <v>0.05</v>
      </c>
      <c r="AB37" s="7">
        <v>0.55</v>
      </c>
      <c r="AC37" s="7">
        <v>0.068</v>
      </c>
      <c r="AD37" s="7">
        <v>0.002</v>
      </c>
      <c r="AE37" s="7">
        <v>0.261</v>
      </c>
      <c r="AF37" s="7">
        <v>0.11</v>
      </c>
      <c r="AG37" s="7">
        <v>0.03</v>
      </c>
      <c r="AH37" s="7">
        <v>0.05</v>
      </c>
      <c r="AI37" s="7">
        <v>0.01</v>
      </c>
      <c r="AJ37" s="7">
        <v>0.006</v>
      </c>
      <c r="AK37" s="7">
        <v>0.032</v>
      </c>
      <c r="AL37" s="7">
        <v>0.003</v>
      </c>
      <c r="AM37" s="7">
        <v>0.001</v>
      </c>
      <c r="AN37" s="7">
        <v>0.003</v>
      </c>
      <c r="AO37" s="7">
        <v>0.0002</v>
      </c>
      <c r="AP37" s="7">
        <v>0.0108</v>
      </c>
      <c r="AQ37" s="7">
        <v>0.0014</v>
      </c>
    </row>
    <row r="38" ht="45" customHeight="1">
      <c r="A38" s="6">
        <v>5711976</v>
      </c>
      <c r="C38" s="7" t="s">
        <v>51</v>
      </c>
      <c r="D38" s="7" t="s">
        <v>44</v>
      </c>
      <c r="E38" s="6">
        <v>0.135</v>
      </c>
      <c r="F38" s="7" t="s">
        <v>63</v>
      </c>
      <c r="G38" s="8">
        <v>48.21</v>
      </c>
      <c r="H38" s="9">
        <v>62340</v>
      </c>
      <c r="I38" s="10">
        <f t="shared" si="0"/>
        <v>31.17</v>
      </c>
      <c r="J38" s="10">
        <f t="shared" si="1"/>
        <v>623.4</v>
      </c>
      <c r="K38" s="7" t="s">
        <v>90</v>
      </c>
      <c r="V38" s="7" t="s">
        <v>47</v>
      </c>
      <c r="W38" s="7" t="s">
        <v>78</v>
      </c>
      <c r="X38" s="7" t="s">
        <v>104</v>
      </c>
      <c r="Y38" s="7" t="s">
        <v>146</v>
      </c>
      <c r="Z38" s="7" t="s">
        <v>147</v>
      </c>
      <c r="AA38" s="7">
        <v>0.05</v>
      </c>
      <c r="AB38" s="7">
        <v>0.21</v>
      </c>
      <c r="AC38" s="7">
        <v>0.006</v>
      </c>
      <c r="AD38" s="7">
        <v>0.001</v>
      </c>
      <c r="AE38" s="7">
        <v>0.021</v>
      </c>
      <c r="AF38" s="7">
        <v>0.11</v>
      </c>
      <c r="AG38" s="7">
        <v>0.03</v>
      </c>
      <c r="AH38" s="7">
        <v>0.05</v>
      </c>
      <c r="AI38" s="7">
        <v>0.01</v>
      </c>
      <c r="AJ38" s="7">
        <v>0.006</v>
      </c>
      <c r="AK38" s="7">
        <v>0.031</v>
      </c>
      <c r="AL38" s="7">
        <v>0.001</v>
      </c>
      <c r="AM38" s="7">
        <v>0.001</v>
      </c>
      <c r="AN38" s="7">
        <v>0.001</v>
      </c>
      <c r="AO38" s="7">
        <v>0</v>
      </c>
      <c r="AP38" s="7">
        <v>0.0046</v>
      </c>
      <c r="AQ38" s="7">
        <v>0.0014</v>
      </c>
    </row>
    <row r="39" ht="30" customHeight="1">
      <c r="A39" s="6">
        <v>5512394</v>
      </c>
      <c r="C39" s="7" t="s">
        <v>51</v>
      </c>
      <c r="D39" s="7" t="s">
        <v>44</v>
      </c>
      <c r="E39" s="6">
        <v>0.135</v>
      </c>
      <c r="F39" s="7" t="s">
        <v>45</v>
      </c>
      <c r="G39" s="8">
        <v>54.46</v>
      </c>
      <c r="H39" s="9">
        <v>46820</v>
      </c>
      <c r="I39" s="10">
        <f t="shared" si="0"/>
        <v>23.41</v>
      </c>
      <c r="J39" s="10">
        <f t="shared" si="1"/>
        <v>468.2</v>
      </c>
      <c r="K39" s="7" t="s">
        <v>57</v>
      </c>
      <c r="V39" s="7" t="s">
        <v>47</v>
      </c>
      <c r="W39" s="7" t="s">
        <v>98</v>
      </c>
      <c r="X39" s="7" t="s">
        <v>148</v>
      </c>
      <c r="Z39" s="7" t="s">
        <v>149</v>
      </c>
      <c r="AA39" s="7">
        <v>0.07</v>
      </c>
      <c r="AB39" s="7">
        <v>1.64</v>
      </c>
      <c r="AC39" s="7">
        <v>0.011</v>
      </c>
      <c r="AD39" s="7">
        <v>0.001</v>
      </c>
      <c r="AE39" s="7">
        <v>0.244</v>
      </c>
      <c r="AF39" s="7">
        <v>0.14</v>
      </c>
      <c r="AG39" s="7">
        <v>0.03</v>
      </c>
      <c r="AH39" s="7">
        <v>0.63</v>
      </c>
      <c r="AI39" s="7">
        <v>0.01</v>
      </c>
      <c r="AJ39" s="7">
        <v>0.004</v>
      </c>
      <c r="AK39" s="7">
        <v>0.037</v>
      </c>
      <c r="AL39" s="7">
        <v>0.005</v>
      </c>
      <c r="AM39" s="7">
        <v>0.035</v>
      </c>
      <c r="AN39" s="7">
        <v>0.013</v>
      </c>
      <c r="AO39" s="7">
        <v>0.0001</v>
      </c>
      <c r="AP39" s="7">
        <v>0.0067</v>
      </c>
      <c r="AQ39" s="7">
        <v>0.0016</v>
      </c>
    </row>
    <row r="40" ht="30" customHeight="1">
      <c r="A40" s="6">
        <v>5691986</v>
      </c>
      <c r="C40" s="7" t="s">
        <v>43</v>
      </c>
      <c r="D40" s="7" t="s">
        <v>44</v>
      </c>
      <c r="E40" s="6">
        <v>0.135</v>
      </c>
      <c r="F40" s="7" t="s">
        <v>63</v>
      </c>
      <c r="G40" s="8">
        <v>56.35</v>
      </c>
      <c r="H40" s="9">
        <v>70720</v>
      </c>
      <c r="I40" s="10">
        <f t="shared" si="0"/>
        <v>35.36</v>
      </c>
      <c r="J40" s="10">
        <f t="shared" si="1"/>
        <v>707.2</v>
      </c>
      <c r="K40" s="7" t="s">
        <v>150</v>
      </c>
      <c r="V40" s="7" t="s">
        <v>47</v>
      </c>
      <c r="W40" s="7" t="s">
        <v>151</v>
      </c>
      <c r="X40" s="7" t="s">
        <v>152</v>
      </c>
      <c r="Y40" s="7" t="s">
        <v>50</v>
      </c>
      <c r="AA40" s="7">
        <v>0.07</v>
      </c>
      <c r="AB40" s="7">
        <v>0.81</v>
      </c>
      <c r="AC40" s="7">
        <v>0.019</v>
      </c>
      <c r="AD40" s="7">
        <v>0.001</v>
      </c>
      <c r="AE40" s="7">
        <v>0.43</v>
      </c>
      <c r="AF40" s="7">
        <v>0.13</v>
      </c>
      <c r="AG40" s="7">
        <v>0.03</v>
      </c>
      <c r="AH40" s="7">
        <v>0.08</v>
      </c>
      <c r="AI40" s="7">
        <v>0.01</v>
      </c>
      <c r="AJ40" s="7">
        <v>0.005</v>
      </c>
      <c r="AK40" s="7">
        <v>0.029</v>
      </c>
      <c r="AL40" s="7">
        <v>0.005</v>
      </c>
      <c r="AM40" s="7">
        <v>0.002</v>
      </c>
      <c r="AN40" s="7">
        <v>0.018</v>
      </c>
      <c r="AO40" s="7">
        <v>0.0006</v>
      </c>
      <c r="AP40" s="7">
        <v>0.0049</v>
      </c>
      <c r="AQ40" s="7">
        <v>0.0016</v>
      </c>
    </row>
    <row r="41" ht="30" customHeight="1">
      <c r="A41" s="6">
        <v>5667688</v>
      </c>
      <c r="C41" s="7" t="s">
        <v>51</v>
      </c>
      <c r="D41" s="7" t="s">
        <v>44</v>
      </c>
      <c r="E41" s="6">
        <v>0.136</v>
      </c>
      <c r="F41" s="7" t="s">
        <v>45</v>
      </c>
      <c r="G41" s="8">
        <v>62</v>
      </c>
      <c r="H41" s="9">
        <v>77540</v>
      </c>
      <c r="I41" s="10">
        <f t="shared" si="0"/>
        <v>38.77</v>
      </c>
      <c r="J41" s="10">
        <f t="shared" si="1"/>
        <v>775.4</v>
      </c>
      <c r="K41" s="7" t="s">
        <v>153</v>
      </c>
      <c r="V41" s="7" t="s">
        <v>47</v>
      </c>
      <c r="W41" s="7" t="s">
        <v>95</v>
      </c>
      <c r="X41" s="7" t="s">
        <v>154</v>
      </c>
      <c r="Y41" s="7" t="s">
        <v>155</v>
      </c>
      <c r="Z41" s="7" t="s">
        <v>156</v>
      </c>
      <c r="AA41" s="7">
        <v>0.06</v>
      </c>
      <c r="AB41" s="7">
        <v>0.41</v>
      </c>
      <c r="AC41" s="7">
        <v>0.01</v>
      </c>
      <c r="AD41" s="7">
        <v>0.001</v>
      </c>
      <c r="AE41" s="7">
        <v>0.24</v>
      </c>
      <c r="AF41" s="7">
        <v>0.12</v>
      </c>
      <c r="AG41" s="7">
        <v>0.03</v>
      </c>
      <c r="AH41" s="7">
        <v>0.06</v>
      </c>
      <c r="AI41" s="7">
        <v>0.01</v>
      </c>
      <c r="AJ41" s="7">
        <v>0.003</v>
      </c>
      <c r="AK41" s="7">
        <v>0.031</v>
      </c>
      <c r="AL41" s="7">
        <v>0.002</v>
      </c>
      <c r="AM41" s="7">
        <v>0.01</v>
      </c>
      <c r="AN41" s="7">
        <v>0.001</v>
      </c>
      <c r="AO41" s="7">
        <v>0.0001</v>
      </c>
      <c r="AP41" s="7">
        <v>0.0065</v>
      </c>
      <c r="AQ41" s="7">
        <v>0.0026</v>
      </c>
    </row>
    <row r="42" ht="30" customHeight="1">
      <c r="A42" s="6">
        <v>5617604</v>
      </c>
      <c r="C42" s="7" t="s">
        <v>51</v>
      </c>
      <c r="D42" s="7" t="s">
        <v>44</v>
      </c>
      <c r="E42" s="6">
        <v>0.14</v>
      </c>
      <c r="F42" s="7" t="s">
        <v>45</v>
      </c>
      <c r="G42" s="8">
        <v>50.87</v>
      </c>
      <c r="H42" s="9">
        <v>48300</v>
      </c>
      <c r="I42" s="10">
        <f t="shared" si="0"/>
        <v>24.15</v>
      </c>
      <c r="J42" s="10">
        <f t="shared" si="1"/>
        <v>483</v>
      </c>
      <c r="K42" s="7" t="s">
        <v>46</v>
      </c>
      <c r="L42" s="7">
        <v>101.7</v>
      </c>
      <c r="M42" s="7">
        <v>109.4</v>
      </c>
      <c r="N42" s="7">
        <v>17.6</v>
      </c>
      <c r="V42" s="7" t="s">
        <v>47</v>
      </c>
      <c r="W42" s="7" t="s">
        <v>157</v>
      </c>
      <c r="X42" s="7" t="s">
        <v>158</v>
      </c>
      <c r="Y42" s="7" t="s">
        <v>159</v>
      </c>
      <c r="Z42" s="7" t="s">
        <v>160</v>
      </c>
      <c r="AA42" s="7">
        <v>0.05</v>
      </c>
      <c r="AB42" s="7">
        <v>1.35</v>
      </c>
      <c r="AC42" s="7">
        <v>0.011</v>
      </c>
      <c r="AD42" s="7">
        <v>0.002</v>
      </c>
      <c r="AE42" s="7">
        <v>0.201</v>
      </c>
      <c r="AF42" s="7">
        <v>0.09</v>
      </c>
      <c r="AG42" s="7">
        <v>0.03</v>
      </c>
      <c r="AH42" s="7">
        <v>0.07</v>
      </c>
      <c r="AI42" s="7">
        <v>0.03</v>
      </c>
      <c r="AJ42" s="7">
        <v>0.003</v>
      </c>
      <c r="AK42" s="7">
        <v>0.056</v>
      </c>
      <c r="AL42" s="7">
        <v>0.016</v>
      </c>
      <c r="AM42" s="7">
        <v>0.036</v>
      </c>
      <c r="AN42" s="7">
        <v>0.117</v>
      </c>
      <c r="AO42" s="7">
        <v>0.0009</v>
      </c>
      <c r="AP42" s="7">
        <v>0.0065</v>
      </c>
      <c r="AQ42" s="7">
        <v>0.0021</v>
      </c>
    </row>
    <row r="43" ht="30" customHeight="1">
      <c r="A43" s="6">
        <v>5617603</v>
      </c>
      <c r="C43" s="7" t="s">
        <v>51</v>
      </c>
      <c r="D43" s="7" t="s">
        <v>44</v>
      </c>
      <c r="E43" s="6">
        <v>0.14</v>
      </c>
      <c r="F43" s="7" t="s">
        <v>45</v>
      </c>
      <c r="G43" s="8">
        <v>51.86</v>
      </c>
      <c r="H43" s="9">
        <v>48380</v>
      </c>
      <c r="I43" s="10">
        <f t="shared" si="0"/>
        <v>24.19</v>
      </c>
      <c r="J43" s="10">
        <f t="shared" si="1"/>
        <v>483.8</v>
      </c>
      <c r="K43" s="7" t="s">
        <v>46</v>
      </c>
      <c r="L43" s="7">
        <v>105.4</v>
      </c>
      <c r="M43" s="7">
        <v>112.8</v>
      </c>
      <c r="N43" s="7">
        <v>17.7</v>
      </c>
      <c r="V43" s="7" t="s">
        <v>47</v>
      </c>
      <c r="W43" s="7" t="s">
        <v>157</v>
      </c>
      <c r="X43" s="7" t="s">
        <v>158</v>
      </c>
      <c r="Z43" s="7" t="s">
        <v>161</v>
      </c>
      <c r="AA43" s="7">
        <v>0.05</v>
      </c>
      <c r="AB43" s="7">
        <v>1.38</v>
      </c>
      <c r="AC43" s="7">
        <v>0.012</v>
      </c>
      <c r="AD43" s="7">
        <v>0.003</v>
      </c>
      <c r="AE43" s="7">
        <v>0.215</v>
      </c>
      <c r="AF43" s="7">
        <v>0.09</v>
      </c>
      <c r="AG43" s="7">
        <v>0.03</v>
      </c>
      <c r="AH43" s="7">
        <v>0.07</v>
      </c>
      <c r="AI43" s="7">
        <v>0.04</v>
      </c>
      <c r="AJ43" s="7">
        <v>0.003</v>
      </c>
      <c r="AK43" s="7">
        <v>0.055</v>
      </c>
      <c r="AL43" s="7">
        <v>0.017</v>
      </c>
      <c r="AM43" s="7">
        <v>0.039</v>
      </c>
      <c r="AN43" s="7">
        <v>0.118</v>
      </c>
      <c r="AO43" s="7">
        <v>0.0009</v>
      </c>
      <c r="AP43" s="7">
        <v>0.0063</v>
      </c>
      <c r="AQ43" s="7">
        <v>0.0017</v>
      </c>
    </row>
    <row r="44" ht="30" customHeight="1">
      <c r="A44" s="6">
        <v>5617602</v>
      </c>
      <c r="C44" s="7" t="s">
        <v>51</v>
      </c>
      <c r="D44" s="7" t="s">
        <v>44</v>
      </c>
      <c r="E44" s="6">
        <v>0.14</v>
      </c>
      <c r="F44" s="7" t="s">
        <v>45</v>
      </c>
      <c r="G44" s="8">
        <v>51.9</v>
      </c>
      <c r="H44" s="9">
        <v>47612</v>
      </c>
      <c r="I44" s="10">
        <f t="shared" si="0"/>
        <v>23.806</v>
      </c>
      <c r="J44" s="10">
        <f t="shared" si="1"/>
        <v>476.12</v>
      </c>
      <c r="K44" s="7" t="s">
        <v>162</v>
      </c>
      <c r="L44" s="7">
        <v>93.9</v>
      </c>
      <c r="M44" s="7">
        <v>102.7</v>
      </c>
      <c r="N44" s="7">
        <v>18</v>
      </c>
      <c r="O44" s="7">
        <v>99</v>
      </c>
      <c r="V44" s="7" t="s">
        <v>47</v>
      </c>
      <c r="W44" s="7" t="s">
        <v>159</v>
      </c>
      <c r="X44" s="7" t="s">
        <v>163</v>
      </c>
      <c r="Y44" s="7" t="s">
        <v>98</v>
      </c>
      <c r="Z44" s="7" t="s">
        <v>164</v>
      </c>
      <c r="AA44" s="7">
        <v>0.05</v>
      </c>
      <c r="AB44" s="7">
        <v>0.75</v>
      </c>
      <c r="AC44" s="7">
        <v>0.011</v>
      </c>
      <c r="AD44" s="7">
        <v>0.002</v>
      </c>
      <c r="AE44" s="7">
        <v>0.19</v>
      </c>
      <c r="AF44" s="7">
        <v>0.09</v>
      </c>
      <c r="AG44" s="7">
        <v>0.03</v>
      </c>
      <c r="AH44" s="7">
        <v>0.06</v>
      </c>
      <c r="AI44" s="7">
        <v>0.02</v>
      </c>
      <c r="AJ44" s="7">
        <v>0.003</v>
      </c>
      <c r="AK44" s="7">
        <v>0.05</v>
      </c>
      <c r="AL44" s="7">
        <v>0.007</v>
      </c>
      <c r="AM44" s="7">
        <v>0.012</v>
      </c>
      <c r="AN44" s="7">
        <v>0.088</v>
      </c>
      <c r="AO44" s="7">
        <v>0.0009</v>
      </c>
      <c r="AP44" s="7">
        <v>0.006</v>
      </c>
      <c r="AQ44" s="7">
        <v>0.0014</v>
      </c>
    </row>
    <row r="45" ht="30" customHeight="1">
      <c r="A45" s="6">
        <v>5652035</v>
      </c>
      <c r="C45" s="7" t="s">
        <v>51</v>
      </c>
      <c r="D45" s="7" t="s">
        <v>44</v>
      </c>
      <c r="E45" s="6">
        <v>0.14</v>
      </c>
      <c r="F45" s="7" t="s">
        <v>45</v>
      </c>
      <c r="G45" s="8">
        <v>56.37</v>
      </c>
      <c r="H45" s="9">
        <v>55880</v>
      </c>
      <c r="I45" s="10">
        <f t="shared" si="0"/>
        <v>27.94</v>
      </c>
      <c r="J45" s="10">
        <f t="shared" si="1"/>
        <v>558.8</v>
      </c>
      <c r="K45" s="7" t="s">
        <v>131</v>
      </c>
      <c r="V45" s="7" t="s">
        <v>58</v>
      </c>
      <c r="W45" s="7" t="s">
        <v>144</v>
      </c>
      <c r="X45" s="7" t="s">
        <v>165</v>
      </c>
      <c r="Y45" s="7" t="s">
        <v>166</v>
      </c>
      <c r="Z45" s="7" t="s">
        <v>135</v>
      </c>
      <c r="AA45" s="7">
        <v>0.07</v>
      </c>
      <c r="AB45" s="7">
        <v>1.86</v>
      </c>
      <c r="AC45" s="7">
        <v>0.011</v>
      </c>
      <c r="AD45" s="7">
        <v>0.001</v>
      </c>
      <c r="AE45" s="7">
        <v>0.265</v>
      </c>
      <c r="AF45" s="7">
        <v>0.1</v>
      </c>
      <c r="AG45" s="7">
        <v>0.04</v>
      </c>
      <c r="AH45" s="7">
        <v>0.77</v>
      </c>
      <c r="AI45" s="7">
        <v>0.32</v>
      </c>
      <c r="AJ45" s="7">
        <v>0.003</v>
      </c>
      <c r="AK45" s="7">
        <v>0.028</v>
      </c>
      <c r="AL45" s="7">
        <v>0.007</v>
      </c>
      <c r="AM45" s="7">
        <v>0.011</v>
      </c>
      <c r="AN45" s="7">
        <v>0.001</v>
      </c>
      <c r="AO45" s="7">
        <v>0.0003</v>
      </c>
      <c r="AP45" s="7">
        <v>0.0073</v>
      </c>
      <c r="AQ45" s="7">
        <v>0.0013</v>
      </c>
    </row>
    <row r="46" ht="75" customHeight="1">
      <c r="A46" s="6">
        <v>5691829</v>
      </c>
      <c r="C46" s="7" t="s">
        <v>51</v>
      </c>
      <c r="D46" s="7" t="s">
        <v>44</v>
      </c>
      <c r="E46" s="6">
        <v>0.141</v>
      </c>
      <c r="F46" s="7" t="s">
        <v>63</v>
      </c>
      <c r="G46" s="8">
        <v>50.6</v>
      </c>
      <c r="H46" s="9">
        <v>50460</v>
      </c>
      <c r="I46" s="10">
        <f t="shared" si="0"/>
        <v>25.23</v>
      </c>
      <c r="J46" s="10">
        <f t="shared" si="1"/>
        <v>504.6</v>
      </c>
      <c r="K46" s="7" t="s">
        <v>167</v>
      </c>
      <c r="V46" s="7" t="s">
        <v>58</v>
      </c>
      <c r="W46" s="7" t="s">
        <v>106</v>
      </c>
      <c r="X46" s="7" t="s">
        <v>168</v>
      </c>
      <c r="Y46" s="7" t="s">
        <v>169</v>
      </c>
      <c r="Z46" s="7" t="s">
        <v>170</v>
      </c>
      <c r="AA46" s="7">
        <v>0.04</v>
      </c>
      <c r="AB46" s="7">
        <v>0.24</v>
      </c>
      <c r="AC46" s="7">
        <v>0.01</v>
      </c>
      <c r="AD46" s="7">
        <v>0.003</v>
      </c>
      <c r="AE46" s="7">
        <v>0.021</v>
      </c>
      <c r="AF46" s="7">
        <v>0.13</v>
      </c>
      <c r="AG46" s="7">
        <v>0.03</v>
      </c>
      <c r="AH46" s="7">
        <v>0.04</v>
      </c>
      <c r="AI46" s="7">
        <v>0.01</v>
      </c>
      <c r="AJ46" s="7">
        <v>0.005</v>
      </c>
      <c r="AK46" s="7">
        <v>0.038</v>
      </c>
      <c r="AL46" s="7">
        <v>0.002</v>
      </c>
      <c r="AM46" s="7">
        <v>0.001</v>
      </c>
      <c r="AN46" s="7">
        <v>0.001</v>
      </c>
      <c r="AO46" s="7">
        <v>0.0052</v>
      </c>
      <c r="AP46" s="7">
        <v>0.0054</v>
      </c>
      <c r="AQ46" s="7">
        <v>0.002</v>
      </c>
    </row>
    <row r="47" ht="30" customHeight="1">
      <c r="A47" s="6">
        <v>5668130</v>
      </c>
      <c r="C47" s="7" t="s">
        <v>51</v>
      </c>
      <c r="D47" s="7" t="s">
        <v>44</v>
      </c>
      <c r="E47" s="6">
        <v>0.145</v>
      </c>
      <c r="F47" s="7" t="s">
        <v>45</v>
      </c>
      <c r="G47" s="8">
        <v>47.12</v>
      </c>
      <c r="H47" s="9">
        <v>47500</v>
      </c>
      <c r="I47" s="10">
        <f t="shared" si="0"/>
        <v>23.75</v>
      </c>
      <c r="J47" s="10">
        <f t="shared" si="1"/>
        <v>475</v>
      </c>
      <c r="K47" s="7" t="s">
        <v>57</v>
      </c>
      <c r="V47" s="7" t="s">
        <v>47</v>
      </c>
      <c r="W47" s="7" t="s">
        <v>98</v>
      </c>
      <c r="X47" s="7" t="s">
        <v>148</v>
      </c>
      <c r="Y47" s="7" t="s">
        <v>50</v>
      </c>
      <c r="Z47" s="7" t="s">
        <v>171</v>
      </c>
      <c r="AA47" s="7">
        <v>0.07</v>
      </c>
      <c r="AB47" s="7">
        <v>1.52</v>
      </c>
      <c r="AC47" s="7">
        <v>0.014</v>
      </c>
      <c r="AD47" s="7">
        <v>0.001</v>
      </c>
      <c r="AE47" s="7">
        <v>0.234</v>
      </c>
      <c r="AF47" s="7">
        <v>0.12</v>
      </c>
      <c r="AG47" s="7">
        <v>0.03</v>
      </c>
      <c r="AH47" s="7">
        <v>0.6</v>
      </c>
      <c r="AI47" s="7">
        <v>0.02</v>
      </c>
      <c r="AJ47" s="7">
        <v>0.004</v>
      </c>
      <c r="AK47" s="7">
        <v>0.038</v>
      </c>
      <c r="AL47" s="7">
        <v>0.005</v>
      </c>
      <c r="AM47" s="7">
        <v>0.033</v>
      </c>
      <c r="AN47" s="7">
        <v>0.012</v>
      </c>
      <c r="AO47" s="7">
        <v>0.0001</v>
      </c>
      <c r="AP47" s="7">
        <v>0.0061</v>
      </c>
      <c r="AQ47" s="7">
        <v>0.0015</v>
      </c>
    </row>
    <row r="48" ht="30" customHeight="1">
      <c r="A48" s="6">
        <v>5445133</v>
      </c>
      <c r="C48" s="7" t="s">
        <v>51</v>
      </c>
      <c r="D48" s="7" t="s">
        <v>44</v>
      </c>
      <c r="E48" s="6">
        <v>0.145</v>
      </c>
      <c r="F48" s="7" t="s">
        <v>45</v>
      </c>
      <c r="G48" s="8">
        <v>48.39</v>
      </c>
      <c r="H48" s="9">
        <v>49960</v>
      </c>
      <c r="I48" s="10">
        <f t="shared" si="0"/>
        <v>24.98</v>
      </c>
      <c r="J48" s="10">
        <f t="shared" si="1"/>
        <v>499.6</v>
      </c>
      <c r="K48" s="7" t="s">
        <v>57</v>
      </c>
      <c r="V48" s="7" t="s">
        <v>47</v>
      </c>
      <c r="W48" s="7" t="s">
        <v>98</v>
      </c>
      <c r="X48" s="7" t="s">
        <v>148</v>
      </c>
      <c r="Y48" s="7" t="s">
        <v>50</v>
      </c>
      <c r="Z48" s="7" t="s">
        <v>172</v>
      </c>
      <c r="AA48" s="7">
        <v>0.07</v>
      </c>
      <c r="AB48" s="7">
        <v>1.61</v>
      </c>
      <c r="AC48" s="7">
        <v>0.013</v>
      </c>
      <c r="AD48" s="7">
        <v>0.001</v>
      </c>
      <c r="AE48" s="7">
        <v>0.263</v>
      </c>
      <c r="AF48" s="7">
        <v>0.11</v>
      </c>
      <c r="AG48" s="7">
        <v>0.03</v>
      </c>
      <c r="AH48" s="7">
        <v>0.58</v>
      </c>
      <c r="AI48" s="7">
        <v>0.01</v>
      </c>
      <c r="AJ48" s="7">
        <v>0.004</v>
      </c>
      <c r="AK48" s="7">
        <v>0.037</v>
      </c>
      <c r="AL48" s="7">
        <v>0.006</v>
      </c>
      <c r="AM48" s="7">
        <v>0.036</v>
      </c>
      <c r="AN48" s="7">
        <v>0.01</v>
      </c>
      <c r="AO48" s="7">
        <v>0.0001</v>
      </c>
      <c r="AP48" s="7">
        <v>0.0067</v>
      </c>
      <c r="AQ48" s="7">
        <v>0.0016</v>
      </c>
    </row>
    <row r="49" ht="30" customHeight="1">
      <c r="A49" s="6">
        <v>5680764</v>
      </c>
      <c r="C49" s="7" t="s">
        <v>51</v>
      </c>
      <c r="D49" s="7" t="s">
        <v>44</v>
      </c>
      <c r="E49" s="6">
        <v>0.145</v>
      </c>
      <c r="F49" s="7" t="s">
        <v>45</v>
      </c>
      <c r="G49" s="8">
        <v>52.79</v>
      </c>
      <c r="H49" s="9">
        <v>51960</v>
      </c>
      <c r="I49" s="10">
        <f t="shared" si="0"/>
        <v>25.98</v>
      </c>
      <c r="J49" s="10">
        <f t="shared" si="1"/>
        <v>519.6</v>
      </c>
      <c r="K49" s="7" t="s">
        <v>90</v>
      </c>
      <c r="V49" s="7" t="s">
        <v>47</v>
      </c>
      <c r="W49" s="7" t="s">
        <v>98</v>
      </c>
      <c r="X49" s="7" t="s">
        <v>148</v>
      </c>
      <c r="Y49" s="7" t="s">
        <v>50</v>
      </c>
      <c r="Z49" s="7" t="s">
        <v>173</v>
      </c>
      <c r="AA49" s="7">
        <v>0.05</v>
      </c>
      <c r="AB49" s="7">
        <v>0.2</v>
      </c>
      <c r="AC49" s="7">
        <v>0.011</v>
      </c>
      <c r="AD49" s="7">
        <v>0.002</v>
      </c>
      <c r="AE49" s="7">
        <v>0.025</v>
      </c>
      <c r="AF49" s="7">
        <v>0.12</v>
      </c>
      <c r="AG49" s="7">
        <v>0.03</v>
      </c>
      <c r="AH49" s="7">
        <v>0.08</v>
      </c>
      <c r="AI49" s="7">
        <v>0.01</v>
      </c>
      <c r="AJ49" s="7">
        <v>0.003</v>
      </c>
      <c r="AK49" s="7">
        <v>0.024</v>
      </c>
      <c r="AL49" s="7">
        <v>0.001</v>
      </c>
      <c r="AM49" s="7">
        <v>0.001</v>
      </c>
      <c r="AN49" s="7">
        <v>0</v>
      </c>
      <c r="AO49" s="7">
        <v>0.0001</v>
      </c>
      <c r="AP49" s="7">
        <v>0.0064</v>
      </c>
      <c r="AQ49" s="7">
        <v>0.0012</v>
      </c>
    </row>
    <row r="50" ht="30" customHeight="1">
      <c r="A50" s="6">
        <v>5662060</v>
      </c>
      <c r="C50" s="7" t="s">
        <v>51</v>
      </c>
      <c r="D50" s="7" t="s">
        <v>44</v>
      </c>
      <c r="E50" s="6">
        <v>0.145</v>
      </c>
      <c r="F50" s="7" t="s">
        <v>45</v>
      </c>
      <c r="G50" s="8">
        <v>58</v>
      </c>
      <c r="H50" s="9">
        <v>53700</v>
      </c>
      <c r="I50" s="10">
        <f t="shared" si="0"/>
        <v>26.85</v>
      </c>
      <c r="J50" s="10">
        <f t="shared" si="1"/>
        <v>537</v>
      </c>
      <c r="K50" s="7" t="s">
        <v>57</v>
      </c>
      <c r="V50" s="7" t="s">
        <v>47</v>
      </c>
      <c r="W50" s="7" t="s">
        <v>98</v>
      </c>
      <c r="X50" s="7" t="s">
        <v>154</v>
      </c>
      <c r="Y50" s="7" t="s">
        <v>50</v>
      </c>
      <c r="Z50" s="7" t="s">
        <v>174</v>
      </c>
      <c r="AA50" s="7">
        <v>0.07</v>
      </c>
      <c r="AB50" s="7">
        <v>1.64</v>
      </c>
      <c r="AC50" s="7">
        <v>0.009</v>
      </c>
      <c r="AD50" s="7">
        <v>0</v>
      </c>
      <c r="AE50" s="7">
        <v>0.258</v>
      </c>
      <c r="AF50" s="7">
        <v>0.12</v>
      </c>
      <c r="AG50" s="7">
        <v>0.04</v>
      </c>
      <c r="AH50" s="7">
        <v>0.61</v>
      </c>
      <c r="AI50" s="7">
        <v>0.02</v>
      </c>
      <c r="AJ50" s="7">
        <v>0.003</v>
      </c>
      <c r="AK50" s="7">
        <v>0.039</v>
      </c>
      <c r="AL50" s="7">
        <v>0.007</v>
      </c>
      <c r="AM50" s="7">
        <v>0.035</v>
      </c>
      <c r="AN50" s="7">
        <v>0.011</v>
      </c>
      <c r="AO50" s="7">
        <v>0.0001</v>
      </c>
      <c r="AP50" s="7">
        <v>0.0068</v>
      </c>
      <c r="AQ50" s="7">
        <v>0.002</v>
      </c>
    </row>
    <row r="51" ht="30" customHeight="1">
      <c r="A51" s="6">
        <v>5670009</v>
      </c>
      <c r="C51" s="7" t="s">
        <v>51</v>
      </c>
      <c r="D51" s="7" t="s">
        <v>44</v>
      </c>
      <c r="E51" s="6">
        <v>0.145</v>
      </c>
      <c r="F51" s="7" t="s">
        <v>45</v>
      </c>
      <c r="G51" s="8">
        <v>60.88</v>
      </c>
      <c r="H51" s="9">
        <v>46900</v>
      </c>
      <c r="I51" s="10">
        <f t="shared" si="0"/>
        <v>23.45</v>
      </c>
      <c r="J51" s="10">
        <f t="shared" si="1"/>
        <v>469</v>
      </c>
      <c r="K51" s="7" t="s">
        <v>90</v>
      </c>
      <c r="V51" s="7" t="s">
        <v>47</v>
      </c>
      <c r="W51" s="7" t="s">
        <v>98</v>
      </c>
      <c r="X51" s="7" t="s">
        <v>148</v>
      </c>
      <c r="Y51" s="7" t="s">
        <v>50</v>
      </c>
      <c r="Z51" s="7" t="s">
        <v>175</v>
      </c>
      <c r="AA51" s="7">
        <v>0.05</v>
      </c>
      <c r="AB51" s="7">
        <v>0.18</v>
      </c>
      <c r="AC51" s="7">
        <v>0.009</v>
      </c>
      <c r="AD51" s="7">
        <v>0.002</v>
      </c>
      <c r="AE51" s="7">
        <v>0.023</v>
      </c>
      <c r="AF51" s="7">
        <v>0.07</v>
      </c>
      <c r="AG51" s="7">
        <v>0.02</v>
      </c>
      <c r="AH51" s="7">
        <v>0.03</v>
      </c>
      <c r="AI51" s="7">
        <v>0.01</v>
      </c>
      <c r="AJ51" s="7">
        <v>0.002</v>
      </c>
      <c r="AK51" s="7">
        <v>0.031</v>
      </c>
      <c r="AL51" s="7">
        <v>0.001</v>
      </c>
      <c r="AM51" s="7">
        <v>0.001</v>
      </c>
      <c r="AN51" s="7">
        <v>0.001</v>
      </c>
      <c r="AO51" s="7">
        <v>0.0001</v>
      </c>
      <c r="AP51" s="7">
        <v>0.0061</v>
      </c>
      <c r="AQ51" s="7">
        <v>0.0023</v>
      </c>
    </row>
    <row r="52" ht="15" customHeight="1">
      <c r="A52" s="6">
        <v>5669108</v>
      </c>
      <c r="C52" s="7" t="s">
        <v>51</v>
      </c>
      <c r="D52" s="7" t="s">
        <v>44</v>
      </c>
      <c r="E52" s="6">
        <v>0.145</v>
      </c>
      <c r="F52" s="7" t="s">
        <v>45</v>
      </c>
      <c r="G52" s="8">
        <v>62.16</v>
      </c>
      <c r="H52" s="9">
        <v>45740</v>
      </c>
      <c r="I52" s="10">
        <f t="shared" si="0"/>
        <v>22.87</v>
      </c>
      <c r="J52" s="10">
        <f t="shared" si="1"/>
        <v>457.4</v>
      </c>
      <c r="K52" s="7" t="s">
        <v>153</v>
      </c>
      <c r="V52" s="7" t="s">
        <v>47</v>
      </c>
      <c r="W52" s="7" t="s">
        <v>78</v>
      </c>
      <c r="X52" s="7" t="s">
        <v>176</v>
      </c>
      <c r="Z52" s="7" t="s">
        <v>177</v>
      </c>
      <c r="AA52" s="7">
        <v>0.06</v>
      </c>
      <c r="AB52" s="7">
        <v>0.4</v>
      </c>
      <c r="AC52" s="7">
        <v>0.012</v>
      </c>
      <c r="AD52" s="7">
        <v>0.001</v>
      </c>
      <c r="AE52" s="7">
        <v>0.23</v>
      </c>
      <c r="AF52" s="7">
        <v>0.12</v>
      </c>
      <c r="AG52" s="7">
        <v>0.03</v>
      </c>
      <c r="AH52" s="7">
        <v>0.07</v>
      </c>
      <c r="AI52" s="7">
        <v>0.01</v>
      </c>
      <c r="AJ52" s="7">
        <v>0.004</v>
      </c>
      <c r="AK52" s="7">
        <v>0.027</v>
      </c>
      <c r="AL52" s="7">
        <v>0.002</v>
      </c>
      <c r="AM52" s="7">
        <v>0.01</v>
      </c>
      <c r="AN52" s="7">
        <v>0.001</v>
      </c>
      <c r="AO52" s="7">
        <v>0.0001</v>
      </c>
      <c r="AP52" s="7">
        <v>0.0049</v>
      </c>
      <c r="AQ52" s="7">
        <v>0.002</v>
      </c>
    </row>
    <row r="53" ht="30" customHeight="1">
      <c r="A53" s="6">
        <v>5688813</v>
      </c>
      <c r="C53" s="7" t="s">
        <v>51</v>
      </c>
      <c r="D53" s="7" t="s">
        <v>44</v>
      </c>
      <c r="E53" s="6">
        <v>0.146</v>
      </c>
      <c r="F53" s="7" t="s">
        <v>63</v>
      </c>
      <c r="G53" s="8">
        <v>59.95</v>
      </c>
      <c r="H53" s="9">
        <v>45660</v>
      </c>
      <c r="I53" s="10">
        <f t="shared" si="0"/>
        <v>22.83</v>
      </c>
      <c r="J53" s="10">
        <f t="shared" si="1"/>
        <v>456.6</v>
      </c>
      <c r="K53" s="7" t="s">
        <v>178</v>
      </c>
      <c r="V53" s="7" t="s">
        <v>47</v>
      </c>
      <c r="W53" s="7" t="s">
        <v>82</v>
      </c>
      <c r="X53" s="7" t="s">
        <v>179</v>
      </c>
      <c r="Y53" s="7" t="s">
        <v>180</v>
      </c>
      <c r="Z53" s="7" t="s">
        <v>181</v>
      </c>
      <c r="AA53" s="7">
        <v>0.03</v>
      </c>
      <c r="AB53" s="7">
        <v>0.25</v>
      </c>
      <c r="AC53" s="7">
        <v>0.011</v>
      </c>
      <c r="AD53" s="7">
        <v>0.002</v>
      </c>
      <c r="AE53" s="7">
        <v>0.027</v>
      </c>
      <c r="AF53" s="7">
        <v>0.12</v>
      </c>
      <c r="AG53" s="7">
        <v>0.03</v>
      </c>
      <c r="AH53" s="7">
        <v>0.06</v>
      </c>
      <c r="AI53" s="7">
        <v>0.01</v>
      </c>
      <c r="AJ53" s="7">
        <v>0.007</v>
      </c>
      <c r="AK53" s="7">
        <v>0.034</v>
      </c>
      <c r="AL53" s="7">
        <v>0.002</v>
      </c>
      <c r="AM53" s="7">
        <v>0.001</v>
      </c>
      <c r="AN53" s="7">
        <v>0.017</v>
      </c>
      <c r="AO53" s="7">
        <v>0</v>
      </c>
      <c r="AP53" s="7">
        <v>0.006</v>
      </c>
      <c r="AQ53" s="7">
        <v>0.0015</v>
      </c>
    </row>
    <row r="54" ht="30" customHeight="1">
      <c r="A54" s="6">
        <v>5631575</v>
      </c>
      <c r="C54" s="7" t="s">
        <v>51</v>
      </c>
      <c r="D54" s="7" t="s">
        <v>44</v>
      </c>
      <c r="E54" s="6">
        <v>0.148</v>
      </c>
      <c r="F54" s="7" t="s">
        <v>45</v>
      </c>
      <c r="G54" s="8">
        <v>50.96</v>
      </c>
      <c r="H54" s="9">
        <v>44680</v>
      </c>
      <c r="I54" s="10">
        <f t="shared" si="0"/>
        <v>22.34</v>
      </c>
      <c r="J54" s="10">
        <f t="shared" si="1"/>
        <v>446.8</v>
      </c>
      <c r="K54" s="7" t="s">
        <v>46</v>
      </c>
      <c r="L54" s="7">
        <v>96.1</v>
      </c>
      <c r="M54" s="7">
        <v>104</v>
      </c>
      <c r="N54" s="7">
        <v>16.1</v>
      </c>
      <c r="V54" s="7" t="s">
        <v>47</v>
      </c>
      <c r="W54" s="7" t="s">
        <v>98</v>
      </c>
      <c r="X54" s="7" t="s">
        <v>182</v>
      </c>
      <c r="Y54" s="7" t="s">
        <v>183</v>
      </c>
      <c r="Z54" s="7" t="s">
        <v>164</v>
      </c>
      <c r="AA54" s="7">
        <v>0.05</v>
      </c>
      <c r="AB54" s="7">
        <v>1.35</v>
      </c>
      <c r="AC54" s="7">
        <v>0.011</v>
      </c>
      <c r="AD54" s="7">
        <v>0.002</v>
      </c>
      <c r="AE54" s="7">
        <v>0.201</v>
      </c>
      <c r="AF54" s="7">
        <v>0.09</v>
      </c>
      <c r="AG54" s="7">
        <v>0.03</v>
      </c>
      <c r="AH54" s="7">
        <v>0.07</v>
      </c>
      <c r="AI54" s="7">
        <v>0.03</v>
      </c>
      <c r="AJ54" s="7">
        <v>0.003</v>
      </c>
      <c r="AK54" s="7">
        <v>0.056</v>
      </c>
      <c r="AL54" s="7">
        <v>0.016</v>
      </c>
      <c r="AM54" s="7">
        <v>0.036</v>
      </c>
      <c r="AN54" s="7">
        <v>0.117</v>
      </c>
      <c r="AO54" s="7">
        <v>0.0009</v>
      </c>
      <c r="AP54" s="7">
        <v>0.0065</v>
      </c>
      <c r="AQ54" s="7">
        <v>0.0021</v>
      </c>
    </row>
    <row r="55" ht="45" customHeight="1">
      <c r="A55" s="6">
        <v>5681945</v>
      </c>
      <c r="C55" s="7" t="s">
        <v>51</v>
      </c>
      <c r="D55" s="7" t="s">
        <v>44</v>
      </c>
      <c r="E55" s="6">
        <v>0.15</v>
      </c>
      <c r="F55" s="7" t="s">
        <v>45</v>
      </c>
      <c r="G55" s="8">
        <v>50.4</v>
      </c>
      <c r="H55" s="9">
        <v>48140</v>
      </c>
      <c r="I55" s="10">
        <f t="shared" si="0"/>
        <v>24.07</v>
      </c>
      <c r="J55" s="10">
        <f t="shared" si="1"/>
        <v>481.4</v>
      </c>
      <c r="K55" s="7" t="s">
        <v>121</v>
      </c>
      <c r="V55" s="7" t="s">
        <v>52</v>
      </c>
      <c r="W55" s="7" t="s">
        <v>157</v>
      </c>
      <c r="X55" s="7" t="s">
        <v>184</v>
      </c>
      <c r="Y55" s="7" t="s">
        <v>83</v>
      </c>
      <c r="Z55" s="7" t="s">
        <v>185</v>
      </c>
      <c r="AA55" s="7">
        <v>0.07</v>
      </c>
      <c r="AB55" s="7">
        <v>1.59</v>
      </c>
      <c r="AC55" s="7">
        <v>0.014</v>
      </c>
      <c r="AD55" s="7">
        <v>0.001</v>
      </c>
      <c r="AE55" s="7">
        <v>0.232</v>
      </c>
      <c r="AF55" s="7">
        <v>0.11</v>
      </c>
      <c r="AG55" s="7">
        <v>0.04</v>
      </c>
      <c r="AH55" s="7">
        <v>0.6</v>
      </c>
      <c r="AI55" s="7">
        <v>0.01</v>
      </c>
      <c r="AJ55" s="7">
        <v>0.003</v>
      </c>
      <c r="AK55" s="7">
        <v>0.033</v>
      </c>
      <c r="AL55" s="7">
        <v>0.006</v>
      </c>
      <c r="AM55" s="7">
        <v>0.013</v>
      </c>
      <c r="AN55" s="7">
        <v>0.008</v>
      </c>
      <c r="AO55" s="7">
        <v>0.0002</v>
      </c>
      <c r="AP55" s="7">
        <v>0.0097</v>
      </c>
      <c r="AQ55" s="7">
        <v>0.0013</v>
      </c>
    </row>
    <row r="56" ht="30" customHeight="1">
      <c r="A56" s="6">
        <v>5681899</v>
      </c>
      <c r="C56" s="7" t="s">
        <v>51</v>
      </c>
      <c r="D56" s="7" t="s">
        <v>44</v>
      </c>
      <c r="E56" s="6">
        <v>0.15</v>
      </c>
      <c r="F56" s="7" t="s">
        <v>45</v>
      </c>
      <c r="G56" s="8">
        <v>52.46</v>
      </c>
      <c r="H56" s="9">
        <v>62820</v>
      </c>
      <c r="I56" s="10">
        <f t="shared" si="0"/>
        <v>31.41</v>
      </c>
      <c r="J56" s="10">
        <f t="shared" si="1"/>
        <v>628.2</v>
      </c>
      <c r="K56" s="7" t="s">
        <v>121</v>
      </c>
      <c r="V56" s="7" t="s">
        <v>58</v>
      </c>
      <c r="W56" s="7" t="s">
        <v>109</v>
      </c>
      <c r="X56" s="7" t="s">
        <v>110</v>
      </c>
      <c r="Y56" s="7" t="s">
        <v>50</v>
      </c>
      <c r="Z56" s="7" t="s">
        <v>186</v>
      </c>
      <c r="AA56" s="7">
        <v>0.07</v>
      </c>
      <c r="AB56" s="7">
        <v>1.63</v>
      </c>
      <c r="AC56" s="7">
        <v>0.011</v>
      </c>
      <c r="AD56" s="7">
        <v>0</v>
      </c>
      <c r="AE56" s="7">
        <v>0.269</v>
      </c>
      <c r="AF56" s="7">
        <v>0.1</v>
      </c>
      <c r="AG56" s="7">
        <v>0.04</v>
      </c>
      <c r="AH56" s="7">
        <v>0.57</v>
      </c>
      <c r="AI56" s="7">
        <v>0.02</v>
      </c>
      <c r="AJ56" s="7">
        <v>0.002</v>
      </c>
      <c r="AK56" s="7">
        <v>0.03</v>
      </c>
      <c r="AL56" s="7">
        <v>0.007</v>
      </c>
      <c r="AM56" s="7">
        <v>0.013</v>
      </c>
      <c r="AN56" s="7">
        <v>0.01</v>
      </c>
      <c r="AO56" s="7">
        <v>0.0003</v>
      </c>
      <c r="AP56" s="7">
        <v>0.0075</v>
      </c>
      <c r="AQ56" s="7">
        <v>0.0009</v>
      </c>
    </row>
    <row r="57" ht="30" customHeight="1">
      <c r="A57" s="6">
        <v>5653295</v>
      </c>
      <c r="C57" s="7" t="s">
        <v>51</v>
      </c>
      <c r="D57" s="7" t="s">
        <v>44</v>
      </c>
      <c r="E57" s="6">
        <v>0.15</v>
      </c>
      <c r="F57" s="7" t="s">
        <v>45</v>
      </c>
      <c r="G57" s="8">
        <v>53.17</v>
      </c>
      <c r="H57" s="9">
        <v>68780</v>
      </c>
      <c r="I57" s="10">
        <f t="shared" si="0"/>
        <v>34.39</v>
      </c>
      <c r="J57" s="10">
        <f t="shared" si="1"/>
        <v>687.8</v>
      </c>
      <c r="K57" s="7" t="s">
        <v>121</v>
      </c>
      <c r="V57" s="7" t="s">
        <v>58</v>
      </c>
      <c r="W57" s="7" t="s">
        <v>144</v>
      </c>
      <c r="X57" s="7" t="s">
        <v>187</v>
      </c>
      <c r="Y57" s="7" t="s">
        <v>54</v>
      </c>
      <c r="Z57" s="7" t="s">
        <v>188</v>
      </c>
      <c r="AA57" s="7">
        <v>0.07</v>
      </c>
      <c r="AB57" s="7">
        <v>1.53</v>
      </c>
      <c r="AC57" s="7">
        <v>0.011</v>
      </c>
      <c r="AD57" s="7">
        <v>0.002</v>
      </c>
      <c r="AE57" s="7">
        <v>0.245</v>
      </c>
      <c r="AF57" s="7">
        <v>0.11</v>
      </c>
      <c r="AG57" s="7">
        <v>0.03</v>
      </c>
      <c r="AH57" s="7">
        <v>0.61</v>
      </c>
      <c r="AI57" s="7">
        <v>0.01</v>
      </c>
      <c r="AJ57" s="7">
        <v>0.003</v>
      </c>
      <c r="AK57" s="7">
        <v>0.039</v>
      </c>
      <c r="AL57" s="7">
        <v>0.005</v>
      </c>
      <c r="AM57" s="7">
        <v>0.012</v>
      </c>
      <c r="AN57" s="7">
        <v>0.012</v>
      </c>
      <c r="AO57" s="7">
        <v>0.0002</v>
      </c>
      <c r="AP57" s="7">
        <v>0.0068</v>
      </c>
      <c r="AQ57" s="7">
        <v>0.0028</v>
      </c>
    </row>
    <row r="58" ht="30" customHeight="1">
      <c r="A58" s="6">
        <v>5719515</v>
      </c>
      <c r="C58" s="7" t="s">
        <v>51</v>
      </c>
      <c r="D58" s="7" t="s">
        <v>44</v>
      </c>
      <c r="E58" s="6">
        <v>0.15</v>
      </c>
      <c r="F58" s="7" t="s">
        <v>45</v>
      </c>
      <c r="G58" s="8">
        <v>59.13</v>
      </c>
      <c r="H58" s="9">
        <v>62400</v>
      </c>
      <c r="I58" s="10">
        <f t="shared" si="0"/>
        <v>31.2</v>
      </c>
      <c r="J58" s="10">
        <f t="shared" si="1"/>
        <v>624</v>
      </c>
      <c r="K58" s="7" t="s">
        <v>142</v>
      </c>
      <c r="V58" s="7" t="s">
        <v>58</v>
      </c>
      <c r="W58" s="7" t="s">
        <v>144</v>
      </c>
      <c r="X58" s="7" t="s">
        <v>189</v>
      </c>
      <c r="Y58" s="7" t="s">
        <v>96</v>
      </c>
      <c r="Z58" s="7" t="s">
        <v>190</v>
      </c>
      <c r="AA58" s="7">
        <v>0.05</v>
      </c>
      <c r="AB58" s="7">
        <v>0.55</v>
      </c>
      <c r="AC58" s="7">
        <v>0.067</v>
      </c>
      <c r="AD58" s="7">
        <v>0.001</v>
      </c>
      <c r="AE58" s="7">
        <v>0.273</v>
      </c>
      <c r="AF58" s="7">
        <v>0.11</v>
      </c>
      <c r="AG58" s="7">
        <v>0.03</v>
      </c>
      <c r="AH58" s="7">
        <v>0.06</v>
      </c>
      <c r="AI58" s="7">
        <v>0.01</v>
      </c>
      <c r="AJ58" s="7">
        <v>0.006</v>
      </c>
      <c r="AK58" s="7">
        <v>0.031</v>
      </c>
      <c r="AL58" s="7">
        <v>0.003</v>
      </c>
      <c r="AM58" s="7">
        <v>0.001</v>
      </c>
      <c r="AN58" s="7">
        <v>0.003</v>
      </c>
      <c r="AO58" s="7">
        <v>0.0002</v>
      </c>
      <c r="AP58" s="7">
        <v>0.0106</v>
      </c>
      <c r="AQ58" s="7">
        <v>0.0012</v>
      </c>
    </row>
    <row r="59" ht="45" customHeight="1">
      <c r="A59" s="6">
        <v>5704022</v>
      </c>
      <c r="C59" s="7" t="s">
        <v>51</v>
      </c>
      <c r="D59" s="7" t="s">
        <v>44</v>
      </c>
      <c r="E59" s="6">
        <v>0.15</v>
      </c>
      <c r="F59" s="7" t="s">
        <v>63</v>
      </c>
      <c r="G59" s="8">
        <v>59.54</v>
      </c>
      <c r="H59" s="9">
        <v>62680</v>
      </c>
      <c r="I59" s="10">
        <f t="shared" si="0"/>
        <v>31.34</v>
      </c>
      <c r="J59" s="10">
        <f t="shared" si="1"/>
        <v>626.8</v>
      </c>
      <c r="K59" s="7" t="s">
        <v>142</v>
      </c>
      <c r="V59" s="7" t="s">
        <v>58</v>
      </c>
      <c r="W59" s="7" t="s">
        <v>191</v>
      </c>
      <c r="X59" s="7" t="s">
        <v>192</v>
      </c>
      <c r="Y59" s="7" t="s">
        <v>193</v>
      </c>
      <c r="Z59" s="7" t="s">
        <v>194</v>
      </c>
      <c r="AA59" s="7">
        <v>0.04</v>
      </c>
      <c r="AB59" s="7">
        <v>0.58</v>
      </c>
      <c r="AC59" s="7">
        <v>0.061</v>
      </c>
      <c r="AD59" s="7">
        <v>0.004</v>
      </c>
      <c r="AE59" s="7">
        <v>0.28</v>
      </c>
      <c r="AF59" s="7">
        <v>0.11</v>
      </c>
      <c r="AG59" s="7">
        <v>0.04</v>
      </c>
      <c r="AH59" s="7">
        <v>0.04</v>
      </c>
      <c r="AI59" s="7">
        <v>0.01</v>
      </c>
      <c r="AJ59" s="7">
        <v>0.004</v>
      </c>
      <c r="AK59" s="7">
        <v>0.032</v>
      </c>
      <c r="AL59" s="7">
        <v>0.003</v>
      </c>
      <c r="AM59" s="7">
        <v>0.001</v>
      </c>
      <c r="AN59" s="7">
        <v>0.002</v>
      </c>
      <c r="AO59" s="7">
        <v>0.0003</v>
      </c>
      <c r="AP59" s="7">
        <v>0.0103</v>
      </c>
      <c r="AQ59" s="7">
        <v>0.0013</v>
      </c>
    </row>
    <row r="60" ht="30" customHeight="1">
      <c r="A60" s="6">
        <v>5710427</v>
      </c>
      <c r="C60" s="7" t="s">
        <v>51</v>
      </c>
      <c r="D60" s="7" t="s">
        <v>44</v>
      </c>
      <c r="E60" s="6">
        <v>0.15</v>
      </c>
      <c r="F60" s="7" t="s">
        <v>45</v>
      </c>
      <c r="G60" s="8">
        <v>59.64</v>
      </c>
      <c r="H60" s="9">
        <v>43120</v>
      </c>
      <c r="I60" s="10">
        <f t="shared" si="0"/>
        <v>21.56</v>
      </c>
      <c r="J60" s="10">
        <f t="shared" si="1"/>
        <v>431.2</v>
      </c>
      <c r="K60" s="7" t="s">
        <v>195</v>
      </c>
      <c r="V60" s="7" t="s">
        <v>58</v>
      </c>
      <c r="W60" s="7" t="s">
        <v>144</v>
      </c>
      <c r="X60" s="7" t="s">
        <v>110</v>
      </c>
      <c r="Y60" s="7" t="s">
        <v>50</v>
      </c>
      <c r="Z60" s="7" t="s">
        <v>196</v>
      </c>
      <c r="AA60" s="7">
        <v>0.07</v>
      </c>
      <c r="AB60" s="7">
        <v>0.61</v>
      </c>
      <c r="AC60" s="7">
        <v>0.05</v>
      </c>
      <c r="AD60" s="7">
        <v>0.001</v>
      </c>
      <c r="AE60" s="7">
        <v>0.521</v>
      </c>
      <c r="AF60" s="7">
        <v>0.15</v>
      </c>
      <c r="AG60" s="7">
        <v>0.03</v>
      </c>
      <c r="AH60" s="7">
        <v>0.05</v>
      </c>
      <c r="AI60" s="7">
        <v>0.01</v>
      </c>
      <c r="AJ60" s="7">
        <v>0.004</v>
      </c>
      <c r="AK60" s="7">
        <v>0.036</v>
      </c>
      <c r="AL60" s="7">
        <v>0.002</v>
      </c>
      <c r="AM60" s="7">
        <v>0.001</v>
      </c>
      <c r="AN60" s="7">
        <v>0.002</v>
      </c>
      <c r="AO60" s="7">
        <v>0.0008</v>
      </c>
      <c r="AP60" s="7">
        <v>0.0055</v>
      </c>
      <c r="AQ60" s="7">
        <v>0.001</v>
      </c>
    </row>
    <row r="61" ht="30" customHeight="1">
      <c r="A61" s="6">
        <v>5710426</v>
      </c>
      <c r="C61" s="7" t="s">
        <v>51</v>
      </c>
      <c r="D61" s="7" t="s">
        <v>44</v>
      </c>
      <c r="E61" s="6">
        <v>0.15</v>
      </c>
      <c r="F61" s="7" t="s">
        <v>45</v>
      </c>
      <c r="G61" s="8">
        <v>59.71</v>
      </c>
      <c r="H61" s="9">
        <v>43220</v>
      </c>
      <c r="I61" s="10">
        <f t="shared" si="0"/>
        <v>21.61</v>
      </c>
      <c r="J61" s="10">
        <f t="shared" si="1"/>
        <v>432.2</v>
      </c>
      <c r="K61" s="7" t="s">
        <v>90</v>
      </c>
      <c r="V61" s="7" t="s">
        <v>58</v>
      </c>
      <c r="W61" s="7" t="s">
        <v>144</v>
      </c>
      <c r="X61" s="7" t="s">
        <v>189</v>
      </c>
      <c r="Y61" s="7" t="s">
        <v>50</v>
      </c>
      <c r="Z61" s="7" t="s">
        <v>197</v>
      </c>
      <c r="AA61" s="7">
        <v>0.05</v>
      </c>
      <c r="AB61" s="7">
        <v>0.18</v>
      </c>
      <c r="AC61" s="7">
        <v>0.013</v>
      </c>
      <c r="AD61" s="7">
        <v>0.005</v>
      </c>
      <c r="AE61" s="7">
        <v>0.017</v>
      </c>
      <c r="AF61" s="7">
        <v>0.15</v>
      </c>
      <c r="AG61" s="7">
        <v>0.03</v>
      </c>
      <c r="AH61" s="7">
        <v>0.05</v>
      </c>
      <c r="AI61" s="7">
        <v>0.01</v>
      </c>
      <c r="AJ61" s="7">
        <v>0.005</v>
      </c>
      <c r="AK61" s="7">
        <v>0.023</v>
      </c>
      <c r="AL61" s="7">
        <v>0.001</v>
      </c>
      <c r="AM61" s="7">
        <v>0.001</v>
      </c>
      <c r="AN61" s="7">
        <v>0.001</v>
      </c>
      <c r="AO61" s="7">
        <v>0.0003</v>
      </c>
      <c r="AP61" s="7">
        <v>0.0055</v>
      </c>
      <c r="AQ61" s="7">
        <v>0.0023</v>
      </c>
    </row>
    <row r="62" ht="30" customHeight="1">
      <c r="A62" s="6">
        <v>5676467</v>
      </c>
      <c r="C62" s="7" t="s">
        <v>51</v>
      </c>
      <c r="D62" s="7" t="s">
        <v>44</v>
      </c>
      <c r="E62" s="6">
        <v>0.15</v>
      </c>
      <c r="F62" s="7" t="s">
        <v>45</v>
      </c>
      <c r="G62" s="8">
        <v>59.99</v>
      </c>
      <c r="H62" s="9">
        <v>60760</v>
      </c>
      <c r="I62" s="10">
        <f t="shared" si="0"/>
        <v>30.38</v>
      </c>
      <c r="J62" s="10">
        <f t="shared" si="1"/>
        <v>607.6</v>
      </c>
      <c r="K62" s="7" t="s">
        <v>90</v>
      </c>
      <c r="V62" s="7" t="s">
        <v>58</v>
      </c>
      <c r="W62" s="7" t="s">
        <v>198</v>
      </c>
      <c r="X62" s="7" t="s">
        <v>110</v>
      </c>
      <c r="Y62" s="7" t="s">
        <v>50</v>
      </c>
      <c r="Z62" s="7" t="s">
        <v>199</v>
      </c>
      <c r="AA62" s="7">
        <v>0.05</v>
      </c>
      <c r="AB62" s="7">
        <v>0.18</v>
      </c>
      <c r="AC62" s="7">
        <v>0.012</v>
      </c>
      <c r="AD62" s="7">
        <v>0.003</v>
      </c>
      <c r="AE62" s="7">
        <v>0.023</v>
      </c>
      <c r="AF62" s="7">
        <v>0.12</v>
      </c>
      <c r="AG62" s="7">
        <v>0.04</v>
      </c>
      <c r="AH62" s="7">
        <v>0.05</v>
      </c>
      <c r="AI62" s="7">
        <v>0.01</v>
      </c>
      <c r="AJ62" s="7">
        <v>0.002</v>
      </c>
      <c r="AK62" s="7">
        <v>0.022</v>
      </c>
      <c r="AL62" s="7">
        <v>0.002</v>
      </c>
      <c r="AM62" s="7">
        <v>0.001</v>
      </c>
      <c r="AN62" s="7">
        <v>0</v>
      </c>
      <c r="AO62" s="7">
        <v>0.0001</v>
      </c>
      <c r="AP62" s="7">
        <v>0.0052</v>
      </c>
      <c r="AQ62" s="7">
        <v>0.0028</v>
      </c>
    </row>
    <row r="63" ht="30" customHeight="1">
      <c r="A63" s="6">
        <v>5676376</v>
      </c>
      <c r="C63" s="7" t="s">
        <v>51</v>
      </c>
      <c r="D63" s="7" t="s">
        <v>44</v>
      </c>
      <c r="E63" s="6">
        <v>0.15</v>
      </c>
      <c r="F63" s="7" t="s">
        <v>45</v>
      </c>
      <c r="G63" s="8">
        <v>61.32</v>
      </c>
      <c r="H63" s="9">
        <v>49900</v>
      </c>
      <c r="I63" s="10">
        <f t="shared" si="0"/>
        <v>24.95</v>
      </c>
      <c r="J63" s="10">
        <f t="shared" si="1"/>
        <v>499</v>
      </c>
      <c r="K63" s="7" t="s">
        <v>90</v>
      </c>
      <c r="V63" s="7" t="s">
        <v>58</v>
      </c>
      <c r="W63" s="7" t="s">
        <v>144</v>
      </c>
      <c r="X63" s="7" t="s">
        <v>110</v>
      </c>
      <c r="Y63" s="7" t="s">
        <v>50</v>
      </c>
      <c r="Z63" s="7" t="s">
        <v>200</v>
      </c>
      <c r="AA63" s="7">
        <v>0.05</v>
      </c>
      <c r="AB63" s="7">
        <v>0.18</v>
      </c>
      <c r="AC63" s="7">
        <v>0.012</v>
      </c>
      <c r="AD63" s="7">
        <v>0.002</v>
      </c>
      <c r="AE63" s="7">
        <v>0.021</v>
      </c>
      <c r="AF63" s="7">
        <v>0.1</v>
      </c>
      <c r="AG63" s="7">
        <v>0.03</v>
      </c>
      <c r="AH63" s="7">
        <v>0.05</v>
      </c>
      <c r="AI63" s="7">
        <v>0.01</v>
      </c>
      <c r="AJ63" s="7">
        <v>0.003</v>
      </c>
      <c r="AK63" s="7">
        <v>0.024</v>
      </c>
      <c r="AL63" s="7">
        <v>0.002</v>
      </c>
      <c r="AM63" s="7">
        <v>0.001</v>
      </c>
      <c r="AN63" s="7">
        <v>0.001</v>
      </c>
      <c r="AO63" s="7">
        <v>0.0001</v>
      </c>
      <c r="AP63" s="7">
        <v>0.0051</v>
      </c>
      <c r="AQ63" s="7">
        <v>0.0024</v>
      </c>
    </row>
    <row r="64" ht="30" customHeight="1">
      <c r="A64" s="6">
        <v>5708729</v>
      </c>
      <c r="C64" s="7" t="s">
        <v>51</v>
      </c>
      <c r="D64" s="7" t="s">
        <v>44</v>
      </c>
      <c r="E64" s="6">
        <v>0.15</v>
      </c>
      <c r="F64" s="7" t="s">
        <v>45</v>
      </c>
      <c r="G64" s="8">
        <v>61.74</v>
      </c>
      <c r="H64" s="9">
        <v>51020</v>
      </c>
      <c r="I64" s="10">
        <f t="shared" si="0"/>
        <v>25.51</v>
      </c>
      <c r="J64" s="10">
        <f t="shared" si="1"/>
        <v>510.2</v>
      </c>
      <c r="K64" s="7" t="s">
        <v>90</v>
      </c>
      <c r="V64" s="7" t="s">
        <v>58</v>
      </c>
      <c r="W64" s="7" t="s">
        <v>144</v>
      </c>
      <c r="X64" s="7" t="s">
        <v>189</v>
      </c>
      <c r="Y64" s="7" t="s">
        <v>96</v>
      </c>
      <c r="Z64" s="7" t="s">
        <v>201</v>
      </c>
      <c r="AA64" s="7">
        <v>0.04</v>
      </c>
      <c r="AB64" s="7">
        <v>0.19</v>
      </c>
      <c r="AC64" s="7">
        <v>0.011</v>
      </c>
      <c r="AD64" s="7">
        <v>0.002</v>
      </c>
      <c r="AE64" s="7">
        <v>0.026</v>
      </c>
      <c r="AF64" s="7">
        <v>0.12</v>
      </c>
      <c r="AG64" s="7">
        <v>0.05</v>
      </c>
      <c r="AH64" s="7">
        <v>0.07</v>
      </c>
      <c r="AI64" s="7">
        <v>0.02</v>
      </c>
      <c r="AJ64" s="7">
        <v>0.003</v>
      </c>
      <c r="AK64" s="7">
        <v>0.028</v>
      </c>
      <c r="AL64" s="7">
        <v>0.002</v>
      </c>
      <c r="AM64" s="7">
        <v>0.001</v>
      </c>
      <c r="AN64" s="7">
        <v>0</v>
      </c>
      <c r="AO64" s="7">
        <v>0</v>
      </c>
      <c r="AP64" s="7">
        <v>0.0048</v>
      </c>
      <c r="AQ64" s="7">
        <v>0.0015</v>
      </c>
    </row>
    <row r="65" ht="30" customHeight="1">
      <c r="A65" s="6">
        <v>5708413</v>
      </c>
      <c r="C65" s="7" t="s">
        <v>51</v>
      </c>
      <c r="D65" s="7" t="s">
        <v>44</v>
      </c>
      <c r="E65" s="6">
        <v>0.15</v>
      </c>
      <c r="F65" s="7" t="s">
        <v>45</v>
      </c>
      <c r="G65" s="8">
        <v>62.07</v>
      </c>
      <c r="H65" s="9">
        <v>51400</v>
      </c>
      <c r="I65" s="10">
        <f t="shared" si="0"/>
        <v>25.7</v>
      </c>
      <c r="J65" s="10">
        <f t="shared" si="1"/>
        <v>514</v>
      </c>
      <c r="K65" s="7" t="s">
        <v>90</v>
      </c>
      <c r="V65" s="7" t="s">
        <v>58</v>
      </c>
      <c r="W65" s="7" t="s">
        <v>144</v>
      </c>
      <c r="X65" s="7" t="s">
        <v>189</v>
      </c>
      <c r="Y65" s="7" t="s">
        <v>96</v>
      </c>
      <c r="Z65" s="7" t="s">
        <v>202</v>
      </c>
      <c r="AA65" s="7">
        <v>0.04</v>
      </c>
      <c r="AB65" s="7">
        <v>0.21</v>
      </c>
      <c r="AC65" s="7">
        <v>0.01</v>
      </c>
      <c r="AD65" s="7">
        <v>0.004</v>
      </c>
      <c r="AE65" s="7">
        <v>0.028</v>
      </c>
      <c r="AF65" s="7">
        <v>0.12</v>
      </c>
      <c r="AG65" s="7">
        <v>0.04</v>
      </c>
      <c r="AH65" s="7">
        <v>0.05</v>
      </c>
      <c r="AI65" s="7">
        <v>0.01</v>
      </c>
      <c r="AJ65" s="7">
        <v>0.004</v>
      </c>
      <c r="AK65" s="7">
        <v>0.028</v>
      </c>
      <c r="AL65" s="7">
        <v>0.002</v>
      </c>
      <c r="AM65" s="7">
        <v>0.001</v>
      </c>
      <c r="AN65" s="7">
        <v>0</v>
      </c>
      <c r="AO65" s="7">
        <v>0</v>
      </c>
      <c r="AP65" s="7">
        <v>0.0059</v>
      </c>
      <c r="AQ65" s="7">
        <v>0.0014</v>
      </c>
    </row>
    <row r="66" ht="30" customHeight="1">
      <c r="A66" s="6">
        <v>5680103</v>
      </c>
      <c r="C66" s="7" t="s">
        <v>51</v>
      </c>
      <c r="D66" s="7" t="s">
        <v>44</v>
      </c>
      <c r="E66" s="6">
        <v>0.15</v>
      </c>
      <c r="F66" s="7" t="s">
        <v>45</v>
      </c>
      <c r="G66" s="8">
        <v>63.01</v>
      </c>
      <c r="H66" s="9">
        <v>51040</v>
      </c>
      <c r="I66" s="10">
        <f t="shared" si="0"/>
        <v>25.52</v>
      </c>
      <c r="J66" s="10">
        <f t="shared" si="1"/>
        <v>510.4</v>
      </c>
      <c r="K66" s="7" t="s">
        <v>90</v>
      </c>
      <c r="V66" s="7" t="s">
        <v>58</v>
      </c>
      <c r="W66" s="7" t="s">
        <v>144</v>
      </c>
      <c r="X66" s="7" t="s">
        <v>110</v>
      </c>
      <c r="Z66" s="7" t="s">
        <v>203</v>
      </c>
      <c r="AA66" s="7">
        <v>0.04</v>
      </c>
      <c r="AB66" s="7">
        <v>0.17</v>
      </c>
      <c r="AC66" s="7">
        <v>0.011</v>
      </c>
      <c r="AD66" s="7">
        <v>0.004</v>
      </c>
      <c r="AE66" s="7">
        <v>0.02</v>
      </c>
      <c r="AF66" s="7">
        <v>0.12</v>
      </c>
      <c r="AG66" s="7">
        <v>0.03</v>
      </c>
      <c r="AH66" s="7">
        <v>0.05</v>
      </c>
      <c r="AI66" s="7">
        <v>0</v>
      </c>
      <c r="AJ66" s="7">
        <v>0.003</v>
      </c>
      <c r="AK66" s="7">
        <v>0.028</v>
      </c>
      <c r="AL66" s="7">
        <v>0.001</v>
      </c>
      <c r="AM66" s="7">
        <v>0.001</v>
      </c>
      <c r="AN66" s="7">
        <v>0.001</v>
      </c>
      <c r="AO66" s="7">
        <v>0.0001</v>
      </c>
      <c r="AP66" s="7">
        <v>0.0049</v>
      </c>
      <c r="AQ66" s="7">
        <v>0.002</v>
      </c>
    </row>
    <row r="67" ht="30" customHeight="1">
      <c r="A67" s="6">
        <v>5257933</v>
      </c>
      <c r="C67" s="7" t="s">
        <v>51</v>
      </c>
      <c r="D67" s="7" t="s">
        <v>44</v>
      </c>
      <c r="E67" s="6">
        <v>0.151</v>
      </c>
      <c r="F67" s="7" t="s">
        <v>45</v>
      </c>
      <c r="G67" s="8">
        <v>54.96</v>
      </c>
      <c r="H67" s="9">
        <v>46211</v>
      </c>
      <c r="I67" s="10">
        <f t="shared" si="0"/>
        <v>23.1055</v>
      </c>
      <c r="J67" s="10">
        <f t="shared" si="1"/>
        <v>462.11</v>
      </c>
      <c r="K67" s="7" t="s">
        <v>204</v>
      </c>
      <c r="L67" s="7">
        <v>88.2</v>
      </c>
      <c r="M67" s="7">
        <v>98</v>
      </c>
      <c r="N67" s="7">
        <v>22.7</v>
      </c>
      <c r="O67" s="7">
        <v>96</v>
      </c>
      <c r="V67" s="7" t="s">
        <v>47</v>
      </c>
      <c r="W67" s="7" t="s">
        <v>98</v>
      </c>
      <c r="X67" s="7" t="s">
        <v>205</v>
      </c>
      <c r="Y67" s="7" t="s">
        <v>163</v>
      </c>
      <c r="Z67" s="7" t="s">
        <v>206</v>
      </c>
      <c r="AA67" s="7">
        <v>0.05</v>
      </c>
      <c r="AB67" s="7">
        <v>0.74</v>
      </c>
      <c r="AC67" s="7">
        <v>0.007</v>
      </c>
      <c r="AD67" s="7">
        <v>0.002</v>
      </c>
      <c r="AE67" s="7">
        <v>0.184</v>
      </c>
      <c r="AF67" s="7">
        <v>0.11</v>
      </c>
      <c r="AG67" s="7">
        <v>0.04</v>
      </c>
      <c r="AH67" s="7">
        <v>0.05</v>
      </c>
      <c r="AI67" s="7">
        <v>0.01</v>
      </c>
      <c r="AJ67" s="7">
        <v>0.003</v>
      </c>
      <c r="AK67" s="7">
        <v>0.058</v>
      </c>
      <c r="AL67" s="7">
        <v>0.007</v>
      </c>
      <c r="AM67" s="7">
        <v>0</v>
      </c>
      <c r="AN67" s="7">
        <v>0.089</v>
      </c>
      <c r="AO67" s="7">
        <v>0.0001</v>
      </c>
      <c r="AP67" s="7">
        <v>0.0081</v>
      </c>
      <c r="AQ67" s="7">
        <v>0.0016</v>
      </c>
    </row>
    <row r="68" ht="30" customHeight="1">
      <c r="A68" s="6">
        <v>5708414</v>
      </c>
      <c r="C68" s="7" t="s">
        <v>51</v>
      </c>
      <c r="D68" s="7" t="s">
        <v>44</v>
      </c>
      <c r="E68" s="6">
        <v>0.151</v>
      </c>
      <c r="F68" s="7" t="s">
        <v>45</v>
      </c>
      <c r="G68" s="8">
        <v>62.12</v>
      </c>
      <c r="H68" s="9">
        <v>64520</v>
      </c>
      <c r="I68" s="10">
        <f t="shared" si="0"/>
        <v>32.26</v>
      </c>
      <c r="J68" s="10">
        <f t="shared" si="1"/>
        <v>645.2</v>
      </c>
      <c r="K68" s="7" t="s">
        <v>142</v>
      </c>
      <c r="V68" s="7" t="s">
        <v>47</v>
      </c>
      <c r="W68" s="7" t="s">
        <v>98</v>
      </c>
      <c r="X68" s="7" t="s">
        <v>148</v>
      </c>
      <c r="Y68" s="7" t="s">
        <v>50</v>
      </c>
      <c r="Z68" s="7" t="s">
        <v>202</v>
      </c>
      <c r="AA68" s="7">
        <v>0.04</v>
      </c>
      <c r="AB68" s="7">
        <v>0.56</v>
      </c>
      <c r="AC68" s="7">
        <v>0.065</v>
      </c>
      <c r="AD68" s="7">
        <v>0.003</v>
      </c>
      <c r="AE68" s="7">
        <v>0.292</v>
      </c>
      <c r="AF68" s="7">
        <v>0.13</v>
      </c>
      <c r="AG68" s="7">
        <v>0.06</v>
      </c>
      <c r="AH68" s="7">
        <v>0.05</v>
      </c>
      <c r="AI68" s="7">
        <v>0.02</v>
      </c>
      <c r="AJ68" s="7">
        <v>0.004</v>
      </c>
      <c r="AK68" s="7">
        <v>0.032</v>
      </c>
      <c r="AL68" s="7">
        <v>0.003</v>
      </c>
      <c r="AM68" s="7">
        <v>0.001</v>
      </c>
      <c r="AN68" s="7">
        <v>0.002</v>
      </c>
      <c r="AO68" s="7">
        <v>0.0001</v>
      </c>
      <c r="AP68" s="7">
        <v>0.0108</v>
      </c>
      <c r="AQ68" s="7">
        <v>0.0005</v>
      </c>
    </row>
    <row r="69" ht="30" customHeight="1">
      <c r="A69" s="6">
        <v>5681195</v>
      </c>
      <c r="C69" s="7" t="s">
        <v>51</v>
      </c>
      <c r="D69" s="7" t="s">
        <v>44</v>
      </c>
      <c r="E69" s="6">
        <v>0.156</v>
      </c>
      <c r="F69" s="7" t="s">
        <v>45</v>
      </c>
      <c r="G69" s="8">
        <v>58.81</v>
      </c>
      <c r="H69" s="9">
        <v>54960</v>
      </c>
      <c r="I69" s="10">
        <f t="shared" si="0"/>
        <v>27.48</v>
      </c>
      <c r="J69" s="10">
        <f t="shared" si="1"/>
        <v>549.6</v>
      </c>
      <c r="K69" s="7" t="s">
        <v>90</v>
      </c>
      <c r="V69" s="7" t="s">
        <v>47</v>
      </c>
      <c r="W69" s="7" t="s">
        <v>98</v>
      </c>
      <c r="X69" s="7" t="s">
        <v>148</v>
      </c>
      <c r="Y69" s="7" t="s">
        <v>50</v>
      </c>
      <c r="Z69" s="7" t="s">
        <v>200</v>
      </c>
      <c r="AA69" s="7">
        <v>0.04</v>
      </c>
      <c r="AB69" s="7">
        <v>0.19</v>
      </c>
      <c r="AC69" s="7">
        <v>0.01</v>
      </c>
      <c r="AD69" s="7">
        <v>0.002</v>
      </c>
      <c r="AE69" s="7">
        <v>0.022</v>
      </c>
      <c r="AF69" s="7">
        <v>0.11</v>
      </c>
      <c r="AG69" s="7">
        <v>0.04</v>
      </c>
      <c r="AH69" s="7">
        <v>0.06</v>
      </c>
      <c r="AI69" s="7">
        <v>0.01</v>
      </c>
      <c r="AJ69" s="7">
        <v>0.003</v>
      </c>
      <c r="AK69" s="7">
        <v>0.027</v>
      </c>
      <c r="AL69" s="7">
        <v>0.001</v>
      </c>
      <c r="AM69" s="7">
        <v>0.001</v>
      </c>
      <c r="AN69" s="7">
        <v>0</v>
      </c>
      <c r="AO69" s="7">
        <v>0.0001</v>
      </c>
      <c r="AP69" s="7">
        <v>0.006</v>
      </c>
      <c r="AQ69" s="7">
        <v>0.0016</v>
      </c>
    </row>
    <row r="70" ht="45" customHeight="1">
      <c r="A70" s="6">
        <v>5650836</v>
      </c>
      <c r="C70" s="7" t="s">
        <v>51</v>
      </c>
      <c r="D70" s="7" t="s">
        <v>44</v>
      </c>
      <c r="E70" s="6">
        <v>0.156</v>
      </c>
      <c r="F70" s="7" t="s">
        <v>63</v>
      </c>
      <c r="G70" s="8">
        <v>58.85</v>
      </c>
      <c r="H70" s="9">
        <v>55060</v>
      </c>
      <c r="I70" s="10">
        <f t="shared" si="0"/>
        <v>27.53</v>
      </c>
      <c r="J70" s="10">
        <f t="shared" si="1"/>
        <v>550.6</v>
      </c>
      <c r="K70" s="7" t="s">
        <v>90</v>
      </c>
      <c r="V70" s="7" t="s">
        <v>47</v>
      </c>
      <c r="W70" s="7" t="s">
        <v>82</v>
      </c>
      <c r="X70" s="7" t="s">
        <v>83</v>
      </c>
      <c r="Y70" s="7" t="s">
        <v>93</v>
      </c>
      <c r="Z70" s="7" t="s">
        <v>207</v>
      </c>
      <c r="AA70" s="7">
        <v>0.04</v>
      </c>
      <c r="AB70" s="7">
        <v>0.19</v>
      </c>
      <c r="AC70" s="7">
        <v>0.01</v>
      </c>
      <c r="AD70" s="7">
        <v>0.002</v>
      </c>
      <c r="AE70" s="7">
        <v>0.022</v>
      </c>
      <c r="AF70" s="7">
        <v>0.11</v>
      </c>
      <c r="AG70" s="7">
        <v>0.04</v>
      </c>
      <c r="AH70" s="7">
        <v>0.06</v>
      </c>
      <c r="AI70" s="7">
        <v>0.01</v>
      </c>
      <c r="AJ70" s="7">
        <v>0.003</v>
      </c>
      <c r="AK70" s="7">
        <v>0.027</v>
      </c>
      <c r="AL70" s="7">
        <v>0.001</v>
      </c>
      <c r="AM70" s="7">
        <v>0.001</v>
      </c>
      <c r="AN70" s="7">
        <v>0</v>
      </c>
      <c r="AO70" s="7">
        <v>0.0001</v>
      </c>
      <c r="AP70" s="7">
        <v>0.006</v>
      </c>
      <c r="AQ70" s="7">
        <v>0.0016</v>
      </c>
    </row>
    <row r="71" ht="30" customHeight="1">
      <c r="A71" s="6">
        <v>5681171</v>
      </c>
      <c r="C71" s="7" t="s">
        <v>51</v>
      </c>
      <c r="D71" s="7" t="s">
        <v>44</v>
      </c>
      <c r="E71" s="6">
        <v>0.156</v>
      </c>
      <c r="F71" s="7" t="s">
        <v>45</v>
      </c>
      <c r="G71" s="8">
        <v>58.87</v>
      </c>
      <c r="H71" s="9">
        <v>55140</v>
      </c>
      <c r="I71" s="10">
        <f t="shared" si="0"/>
        <v>27.57</v>
      </c>
      <c r="J71" s="10">
        <f t="shared" si="1"/>
        <v>551.4</v>
      </c>
      <c r="K71" s="7" t="s">
        <v>90</v>
      </c>
      <c r="V71" s="7" t="s">
        <v>47</v>
      </c>
      <c r="W71" s="7" t="s">
        <v>98</v>
      </c>
      <c r="X71" s="7" t="s">
        <v>148</v>
      </c>
      <c r="Y71" s="7" t="s">
        <v>50</v>
      </c>
      <c r="Z71" s="7" t="s">
        <v>208</v>
      </c>
      <c r="AA71" s="7">
        <v>0.04</v>
      </c>
      <c r="AB71" s="7">
        <v>0.19</v>
      </c>
      <c r="AC71" s="7">
        <v>0.011</v>
      </c>
      <c r="AD71" s="7">
        <v>0.003</v>
      </c>
      <c r="AE71" s="7">
        <v>0.024</v>
      </c>
      <c r="AF71" s="7">
        <v>0.12</v>
      </c>
      <c r="AG71" s="7">
        <v>0.03</v>
      </c>
      <c r="AH71" s="7">
        <v>0.05</v>
      </c>
      <c r="AI71" s="7">
        <v>0</v>
      </c>
      <c r="AJ71" s="7">
        <v>0.004</v>
      </c>
      <c r="AK71" s="7">
        <v>0.026</v>
      </c>
      <c r="AL71" s="7">
        <v>0.001</v>
      </c>
      <c r="AM71" s="7">
        <v>0.001</v>
      </c>
      <c r="AN71" s="7">
        <v>0.001</v>
      </c>
      <c r="AO71" s="7">
        <v>0.0001</v>
      </c>
      <c r="AP71" s="7">
        <v>0.0054</v>
      </c>
      <c r="AQ71" s="7">
        <v>0.0023</v>
      </c>
    </row>
    <row r="72" ht="15" customHeight="1">
      <c r="A72" s="6">
        <v>5489902</v>
      </c>
      <c r="C72" s="7" t="s">
        <v>51</v>
      </c>
      <c r="D72" s="7" t="s">
        <v>44</v>
      </c>
      <c r="E72" s="6">
        <v>0.157</v>
      </c>
      <c r="F72" s="7" t="s">
        <v>63</v>
      </c>
      <c r="G72" s="8">
        <v>42.21</v>
      </c>
      <c r="H72" s="9">
        <v>42320</v>
      </c>
      <c r="I72" s="10">
        <f t="shared" si="0"/>
        <v>21.16</v>
      </c>
      <c r="J72" s="10">
        <f t="shared" si="1"/>
        <v>423.2</v>
      </c>
      <c r="K72" s="7" t="s">
        <v>112</v>
      </c>
      <c r="V72" s="7" t="s">
        <v>47</v>
      </c>
      <c r="W72" s="7" t="s">
        <v>113</v>
      </c>
      <c r="AA72" s="7">
        <v>0.07</v>
      </c>
      <c r="AB72" s="7">
        <v>1.41</v>
      </c>
      <c r="AC72" s="7">
        <v>0.01</v>
      </c>
      <c r="AD72" s="7">
        <v>0.001</v>
      </c>
      <c r="AE72" s="7">
        <v>0.237</v>
      </c>
      <c r="AF72" s="7">
        <v>0.1</v>
      </c>
      <c r="AG72" s="7">
        <v>0.03</v>
      </c>
      <c r="AH72" s="7">
        <v>0.72</v>
      </c>
      <c r="AI72" s="7">
        <v>0.17</v>
      </c>
      <c r="AJ72" s="7">
        <v>0.003</v>
      </c>
      <c r="AK72" s="7">
        <v>0.031</v>
      </c>
      <c r="AL72" s="7">
        <v>0.004</v>
      </c>
      <c r="AM72" s="7">
        <v>0.001</v>
      </c>
      <c r="AN72" s="7">
        <v>0.002</v>
      </c>
      <c r="AO72" s="7">
        <v>0.0001</v>
      </c>
      <c r="AP72" s="7">
        <v>0.0064</v>
      </c>
      <c r="AQ72" s="7">
        <v>0.0016</v>
      </c>
    </row>
    <row r="73" ht="60" customHeight="1">
      <c r="A73" s="6">
        <v>5667784</v>
      </c>
      <c r="C73" s="7" t="s">
        <v>51</v>
      </c>
      <c r="D73" s="7" t="s">
        <v>44</v>
      </c>
      <c r="E73" s="6">
        <v>0.157</v>
      </c>
      <c r="F73" s="7" t="s">
        <v>63</v>
      </c>
      <c r="G73" s="8">
        <v>58.95</v>
      </c>
      <c r="H73" s="9">
        <v>49580</v>
      </c>
      <c r="I73" s="10">
        <f t="shared" si="0"/>
        <v>24.79</v>
      </c>
      <c r="J73" s="10">
        <f t="shared" si="1"/>
        <v>495.8</v>
      </c>
      <c r="K73" s="7" t="s">
        <v>138</v>
      </c>
      <c r="L73" s="7">
        <v>105.3</v>
      </c>
      <c r="M73" s="7">
        <v>114.5</v>
      </c>
      <c r="N73" s="7">
        <v>20.2</v>
      </c>
      <c r="O73" s="7">
        <v>99</v>
      </c>
      <c r="V73" s="7" t="s">
        <v>47</v>
      </c>
      <c r="W73" s="7" t="s">
        <v>82</v>
      </c>
      <c r="X73" s="7" t="s">
        <v>209</v>
      </c>
      <c r="Y73" s="7" t="s">
        <v>125</v>
      </c>
      <c r="Z73" s="7" t="s">
        <v>210</v>
      </c>
      <c r="AA73" s="7">
        <v>0.06</v>
      </c>
      <c r="AB73" s="7">
        <v>1.53</v>
      </c>
      <c r="AC73" s="7">
        <v>0.011</v>
      </c>
      <c r="AD73" s="7">
        <v>0.001</v>
      </c>
      <c r="AE73" s="7">
        <v>0.203</v>
      </c>
      <c r="AF73" s="7">
        <v>0.11</v>
      </c>
      <c r="AG73" s="7">
        <v>0.1</v>
      </c>
      <c r="AH73" s="7">
        <v>0.12</v>
      </c>
      <c r="AI73" s="7">
        <v>0.1</v>
      </c>
      <c r="AJ73" s="7">
        <v>0.003</v>
      </c>
      <c r="AK73" s="7">
        <v>0.048</v>
      </c>
      <c r="AL73" s="7">
        <v>0.008</v>
      </c>
      <c r="AM73" s="7">
        <v>0.046</v>
      </c>
      <c r="AN73" s="7">
        <v>0.095</v>
      </c>
      <c r="AO73" s="7">
        <v>0.0002</v>
      </c>
      <c r="AP73" s="7">
        <v>0.0073</v>
      </c>
      <c r="AQ73" s="7">
        <v>0.0024</v>
      </c>
    </row>
    <row r="74" ht="45" customHeight="1">
      <c r="A74" s="6">
        <v>5553726</v>
      </c>
      <c r="C74" s="7" t="s">
        <v>51</v>
      </c>
      <c r="D74" s="7" t="s">
        <v>44</v>
      </c>
      <c r="E74" s="6">
        <v>0.157</v>
      </c>
      <c r="F74" s="7" t="s">
        <v>45</v>
      </c>
      <c r="G74" s="8">
        <v>59</v>
      </c>
      <c r="H74" s="9">
        <v>47612</v>
      </c>
      <c r="I74" s="10">
        <f t="shared" si="0"/>
        <v>23.806</v>
      </c>
      <c r="J74" s="10">
        <f t="shared" si="1"/>
        <v>476.12</v>
      </c>
      <c r="K74" s="7" t="s">
        <v>138</v>
      </c>
      <c r="L74" s="7">
        <v>111.9</v>
      </c>
      <c r="M74" s="7">
        <v>119.4</v>
      </c>
      <c r="N74" s="7">
        <v>18.4</v>
      </c>
      <c r="O74" s="7">
        <v>99</v>
      </c>
      <c r="V74" s="7" t="s">
        <v>47</v>
      </c>
      <c r="W74" s="7" t="s">
        <v>98</v>
      </c>
      <c r="X74" s="7" t="s">
        <v>211</v>
      </c>
      <c r="Y74" s="7" t="s">
        <v>212</v>
      </c>
      <c r="Z74" s="7" t="s">
        <v>213</v>
      </c>
      <c r="AA74" s="7">
        <v>0.05</v>
      </c>
      <c r="AB74" s="7">
        <v>1.53</v>
      </c>
      <c r="AC74" s="7">
        <v>0.014</v>
      </c>
      <c r="AD74" s="7">
        <v>0</v>
      </c>
      <c r="AE74" s="7">
        <v>0.207</v>
      </c>
      <c r="AF74" s="7">
        <v>0.11</v>
      </c>
      <c r="AG74" s="7">
        <v>0.08</v>
      </c>
      <c r="AH74" s="7">
        <v>0.12</v>
      </c>
      <c r="AI74" s="7">
        <v>0.11</v>
      </c>
      <c r="AJ74" s="7">
        <v>0.003</v>
      </c>
      <c r="AK74" s="7">
        <v>0.059</v>
      </c>
      <c r="AL74" s="7">
        <v>0.009</v>
      </c>
      <c r="AM74" s="7">
        <v>0.045</v>
      </c>
      <c r="AN74" s="7">
        <v>0.103</v>
      </c>
      <c r="AO74" s="7">
        <v>0.0001</v>
      </c>
      <c r="AP74" s="7">
        <v>0.0079</v>
      </c>
      <c r="AQ74" s="7">
        <v>0.0009</v>
      </c>
    </row>
    <row r="75" ht="30" customHeight="1">
      <c r="A75" s="6">
        <v>5419038</v>
      </c>
      <c r="C75" s="7" t="s">
        <v>51</v>
      </c>
      <c r="D75" s="7" t="s">
        <v>44</v>
      </c>
      <c r="E75" s="6">
        <v>0.157</v>
      </c>
      <c r="F75" s="7" t="s">
        <v>45</v>
      </c>
      <c r="G75" s="8">
        <v>59.23</v>
      </c>
      <c r="H75" s="9">
        <v>47600</v>
      </c>
      <c r="I75" s="10">
        <f t="shared" si="0"/>
        <v>23.8</v>
      </c>
      <c r="J75" s="10">
        <f t="shared" si="1"/>
        <v>476</v>
      </c>
      <c r="K75" s="7" t="s">
        <v>162</v>
      </c>
      <c r="V75" s="7" t="s">
        <v>47</v>
      </c>
      <c r="W75" s="7" t="s">
        <v>98</v>
      </c>
      <c r="X75" s="7" t="s">
        <v>129</v>
      </c>
      <c r="Y75" s="7" t="s">
        <v>110</v>
      </c>
      <c r="Z75" s="7" t="s">
        <v>214</v>
      </c>
      <c r="AA75" s="7">
        <v>0.05</v>
      </c>
      <c r="AB75" s="7">
        <v>0.73</v>
      </c>
      <c r="AC75" s="7">
        <v>0.008</v>
      </c>
      <c r="AD75" s="7">
        <v>0.002</v>
      </c>
      <c r="AE75" s="7">
        <v>0.171</v>
      </c>
      <c r="AF75" s="7">
        <v>0.11</v>
      </c>
      <c r="AG75" s="7">
        <v>0.02</v>
      </c>
      <c r="AH75" s="7">
        <v>0.05</v>
      </c>
      <c r="AI75" s="7">
        <v>0.01</v>
      </c>
      <c r="AJ75" s="7">
        <v>0.005</v>
      </c>
      <c r="AK75" s="7">
        <v>0.047</v>
      </c>
      <c r="AL75" s="7">
        <v>0.005</v>
      </c>
      <c r="AM75" s="7">
        <v>0.011</v>
      </c>
      <c r="AN75" s="7">
        <v>0.089</v>
      </c>
      <c r="AO75" s="7">
        <v>0.0001</v>
      </c>
      <c r="AP75" s="7">
        <v>0.0077</v>
      </c>
      <c r="AQ75" s="7">
        <v>0.0011</v>
      </c>
    </row>
    <row r="76" ht="30" customHeight="1">
      <c r="A76" s="6">
        <v>5617223</v>
      </c>
      <c r="C76" s="7" t="s">
        <v>43</v>
      </c>
      <c r="D76" s="7" t="s">
        <v>44</v>
      </c>
      <c r="E76" s="6">
        <v>0.158</v>
      </c>
      <c r="F76" s="7" t="s">
        <v>45</v>
      </c>
      <c r="G76" s="8">
        <v>46.31</v>
      </c>
      <c r="H76" s="9">
        <v>33560</v>
      </c>
      <c r="I76" s="10">
        <f t="shared" si="0"/>
        <v>16.78</v>
      </c>
      <c r="J76" s="10">
        <f t="shared" si="1"/>
        <v>335.6</v>
      </c>
      <c r="K76" s="7" t="s">
        <v>138</v>
      </c>
      <c r="V76" s="7" t="s">
        <v>47</v>
      </c>
      <c r="W76" s="7" t="s">
        <v>215</v>
      </c>
      <c r="X76" s="7" t="s">
        <v>216</v>
      </c>
      <c r="Y76" s="7" t="s">
        <v>179</v>
      </c>
      <c r="Z76" s="7" t="s">
        <v>217</v>
      </c>
      <c r="AA76" s="7">
        <v>0.06</v>
      </c>
      <c r="AB76" s="7">
        <v>1.52</v>
      </c>
      <c r="AC76" s="7">
        <v>0.013</v>
      </c>
      <c r="AD76" s="7">
        <v>0.001</v>
      </c>
      <c r="AE76" s="7">
        <v>0.194</v>
      </c>
      <c r="AF76" s="7">
        <v>0.12</v>
      </c>
      <c r="AG76" s="7">
        <v>0.07</v>
      </c>
      <c r="AH76" s="7">
        <v>0.09</v>
      </c>
      <c r="AI76" s="7">
        <v>0.1</v>
      </c>
      <c r="AJ76" s="7">
        <v>0.004</v>
      </c>
      <c r="AK76" s="7">
        <v>0.049</v>
      </c>
      <c r="AL76" s="7">
        <v>0.009</v>
      </c>
      <c r="AM76" s="7">
        <v>0.045</v>
      </c>
      <c r="AN76" s="7">
        <v>0.096</v>
      </c>
      <c r="AO76" s="7">
        <v>0.0007</v>
      </c>
      <c r="AP76" s="7">
        <v>0.0074</v>
      </c>
      <c r="AQ76" s="7">
        <v>0.0039</v>
      </c>
    </row>
    <row r="77" ht="30" customHeight="1">
      <c r="A77" s="6">
        <v>5654719</v>
      </c>
      <c r="C77" s="7" t="s">
        <v>51</v>
      </c>
      <c r="D77" s="7" t="s">
        <v>44</v>
      </c>
      <c r="E77" s="6">
        <v>0.158</v>
      </c>
      <c r="F77" s="7" t="s">
        <v>45</v>
      </c>
      <c r="G77" s="8">
        <v>55.3</v>
      </c>
      <c r="H77" s="9">
        <v>48880</v>
      </c>
      <c r="I77" s="10">
        <f t="shared" si="0"/>
        <v>24.44</v>
      </c>
      <c r="J77" s="10">
        <f t="shared" si="1"/>
        <v>488.8</v>
      </c>
      <c r="K77" s="7" t="s">
        <v>138</v>
      </c>
      <c r="V77" s="7" t="s">
        <v>58</v>
      </c>
      <c r="W77" s="7" t="s">
        <v>144</v>
      </c>
      <c r="X77" s="7" t="s">
        <v>110</v>
      </c>
      <c r="Y77" s="7" t="s">
        <v>50</v>
      </c>
      <c r="Z77" s="7" t="s">
        <v>218</v>
      </c>
      <c r="AA77" s="7">
        <v>0.05</v>
      </c>
      <c r="AB77" s="7">
        <v>1.57</v>
      </c>
      <c r="AC77" s="7">
        <v>0.012</v>
      </c>
      <c r="AD77" s="7">
        <v>0.001</v>
      </c>
      <c r="AE77" s="7">
        <v>0.201</v>
      </c>
      <c r="AF77" s="7">
        <v>0.11</v>
      </c>
      <c r="AG77" s="7">
        <v>0.12</v>
      </c>
      <c r="AH77" s="7">
        <v>0.1</v>
      </c>
      <c r="AI77" s="7">
        <v>0.1</v>
      </c>
      <c r="AJ77" s="7">
        <v>0.004</v>
      </c>
      <c r="AK77" s="7">
        <v>0.048</v>
      </c>
      <c r="AL77" s="7">
        <v>0.01</v>
      </c>
      <c r="AM77" s="7">
        <v>0.046</v>
      </c>
      <c r="AN77" s="7">
        <v>0.105</v>
      </c>
      <c r="AO77" s="7">
        <v>0.0009</v>
      </c>
      <c r="AP77" s="7">
        <v>0.009</v>
      </c>
      <c r="AQ77" s="7">
        <v>0.0019</v>
      </c>
    </row>
    <row r="78" ht="30" customHeight="1">
      <c r="A78" s="6">
        <v>5474110</v>
      </c>
      <c r="C78" s="7" t="s">
        <v>51</v>
      </c>
      <c r="D78" s="7" t="s">
        <v>44</v>
      </c>
      <c r="E78" s="6">
        <v>0.16</v>
      </c>
      <c r="F78" s="7" t="s">
        <v>45</v>
      </c>
      <c r="G78" s="8">
        <v>44.21</v>
      </c>
      <c r="H78" s="9">
        <v>44200</v>
      </c>
      <c r="I78" s="10">
        <f t="shared" si="0"/>
        <v>22.1</v>
      </c>
      <c r="J78" s="10">
        <f t="shared" si="1"/>
        <v>442</v>
      </c>
      <c r="K78" s="7" t="s">
        <v>128</v>
      </c>
      <c r="V78" s="7" t="s">
        <v>58</v>
      </c>
      <c r="W78" s="7" t="s">
        <v>198</v>
      </c>
      <c r="X78" s="7" t="s">
        <v>110</v>
      </c>
      <c r="Z78" s="7" t="s">
        <v>219</v>
      </c>
      <c r="AA78" s="7">
        <v>0.05</v>
      </c>
      <c r="AB78" s="7">
        <v>0.76</v>
      </c>
      <c r="AC78" s="7">
        <v>0.008</v>
      </c>
      <c r="AD78" s="7">
        <v>0.001</v>
      </c>
      <c r="AE78" s="7">
        <v>0.192</v>
      </c>
      <c r="AF78" s="7">
        <v>0.14</v>
      </c>
      <c r="AG78" s="7">
        <v>0.03</v>
      </c>
      <c r="AH78" s="7">
        <v>0.05</v>
      </c>
      <c r="AI78" s="7">
        <v>0.01</v>
      </c>
      <c r="AJ78" s="7">
        <v>0.004</v>
      </c>
      <c r="AK78" s="7">
        <v>0.058</v>
      </c>
      <c r="AL78" s="7">
        <v>0.006</v>
      </c>
      <c r="AM78" s="7">
        <v>0.001</v>
      </c>
      <c r="AN78" s="7">
        <v>0.077</v>
      </c>
      <c r="AO78" s="7">
        <v>0</v>
      </c>
      <c r="AP78" s="7">
        <v>0.0082</v>
      </c>
      <c r="AQ78" s="7">
        <v>0.0017</v>
      </c>
    </row>
    <row r="79" ht="30" customHeight="1">
      <c r="A79" s="6">
        <v>5600469</v>
      </c>
      <c r="C79" s="7" t="s">
        <v>51</v>
      </c>
      <c r="D79" s="7" t="s">
        <v>44</v>
      </c>
      <c r="E79" s="6">
        <v>0.16</v>
      </c>
      <c r="F79" s="7" t="s">
        <v>45</v>
      </c>
      <c r="G79" s="8">
        <v>45.65</v>
      </c>
      <c r="H79" s="9">
        <v>45340</v>
      </c>
      <c r="I79" s="10">
        <f t="shared" si="0"/>
        <v>22.67</v>
      </c>
      <c r="J79" s="10">
        <f t="shared" si="1"/>
        <v>453.4</v>
      </c>
      <c r="K79" s="7" t="s">
        <v>128</v>
      </c>
      <c r="V79" s="7" t="s">
        <v>58</v>
      </c>
      <c r="W79" s="7" t="s">
        <v>144</v>
      </c>
      <c r="X79" s="7" t="s">
        <v>110</v>
      </c>
      <c r="Y79" s="7" t="s">
        <v>50</v>
      </c>
      <c r="Z79" s="7" t="s">
        <v>220</v>
      </c>
      <c r="AA79" s="7">
        <v>0.05</v>
      </c>
      <c r="AB79" s="7">
        <v>0.75</v>
      </c>
      <c r="AC79" s="7">
        <v>0.011</v>
      </c>
      <c r="AD79" s="7">
        <v>0.001</v>
      </c>
      <c r="AE79" s="7">
        <v>0.193</v>
      </c>
      <c r="AF79" s="7">
        <v>0.12</v>
      </c>
      <c r="AG79" s="7">
        <v>0.04</v>
      </c>
      <c r="AH79" s="7">
        <v>0.07</v>
      </c>
      <c r="AI79" s="7">
        <v>0.01</v>
      </c>
      <c r="AJ79" s="7">
        <v>0.004</v>
      </c>
      <c r="AK79" s="7">
        <v>0.048</v>
      </c>
      <c r="AL79" s="7">
        <v>0.006</v>
      </c>
      <c r="AM79" s="7">
        <v>0.001</v>
      </c>
      <c r="AN79" s="7">
        <v>0.074</v>
      </c>
      <c r="AO79" s="7">
        <v>0.0001</v>
      </c>
      <c r="AP79" s="7">
        <v>0.0066</v>
      </c>
      <c r="AQ79" s="7">
        <v>0.0026</v>
      </c>
    </row>
    <row r="80" ht="30" customHeight="1">
      <c r="A80" s="6">
        <v>5688847</v>
      </c>
      <c r="C80" s="7" t="s">
        <v>51</v>
      </c>
      <c r="D80" s="7" t="s">
        <v>44</v>
      </c>
      <c r="E80" s="6">
        <v>0.16</v>
      </c>
      <c r="F80" s="7" t="s">
        <v>45</v>
      </c>
      <c r="G80" s="8">
        <v>50.89</v>
      </c>
      <c r="H80" s="9">
        <v>65440</v>
      </c>
      <c r="I80" s="10">
        <f t="shared" si="0"/>
        <v>32.72</v>
      </c>
      <c r="J80" s="10">
        <f t="shared" si="1"/>
        <v>654.4</v>
      </c>
      <c r="K80" s="7" t="s">
        <v>77</v>
      </c>
      <c r="V80" s="7" t="s">
        <v>58</v>
      </c>
      <c r="W80" s="7" t="s">
        <v>109</v>
      </c>
      <c r="X80" s="7" t="s">
        <v>110</v>
      </c>
      <c r="Y80" s="7" t="s">
        <v>221</v>
      </c>
      <c r="Z80" s="7" t="s">
        <v>222</v>
      </c>
      <c r="AA80" s="7">
        <v>0.32</v>
      </c>
      <c r="AB80" s="7">
        <v>0.72</v>
      </c>
      <c r="AC80" s="7">
        <v>0.009</v>
      </c>
      <c r="AD80" s="7">
        <v>0.003</v>
      </c>
      <c r="AE80" s="7">
        <v>0.018</v>
      </c>
      <c r="AF80" s="7">
        <v>0.12</v>
      </c>
      <c r="AG80" s="7">
        <v>0.03</v>
      </c>
      <c r="AH80" s="7">
        <v>0.06</v>
      </c>
      <c r="AI80" s="7">
        <v>0.01</v>
      </c>
      <c r="AJ80" s="7">
        <v>0.002</v>
      </c>
      <c r="AK80" s="7">
        <v>0.038</v>
      </c>
      <c r="AL80" s="7">
        <v>0.003</v>
      </c>
      <c r="AM80" s="7">
        <v>0.001</v>
      </c>
      <c r="AN80" s="7">
        <v>0</v>
      </c>
      <c r="AO80" s="7">
        <v>0.0001</v>
      </c>
      <c r="AP80" s="7">
        <v>0.0055</v>
      </c>
      <c r="AQ80" s="7">
        <v>0.0016</v>
      </c>
    </row>
    <row r="81" ht="30" customHeight="1">
      <c r="A81" s="6">
        <v>5621958</v>
      </c>
      <c r="C81" s="7" t="s">
        <v>51</v>
      </c>
      <c r="D81" s="7" t="s">
        <v>44</v>
      </c>
      <c r="E81" s="6">
        <v>0.16</v>
      </c>
      <c r="F81" s="7" t="s">
        <v>63</v>
      </c>
      <c r="G81" s="8">
        <v>55.03</v>
      </c>
      <c r="H81" s="9">
        <v>50480</v>
      </c>
      <c r="I81" s="10">
        <f t="shared" si="0"/>
        <v>25.24</v>
      </c>
      <c r="J81" s="10">
        <f t="shared" si="1"/>
        <v>504.8</v>
      </c>
      <c r="K81" s="7" t="s">
        <v>57</v>
      </c>
      <c r="V81" s="7" t="s">
        <v>58</v>
      </c>
      <c r="W81" s="7" t="s">
        <v>106</v>
      </c>
      <c r="X81" s="7" t="s">
        <v>223</v>
      </c>
      <c r="Y81" s="7" t="s">
        <v>180</v>
      </c>
      <c r="Z81" s="7" t="s">
        <v>224</v>
      </c>
      <c r="AA81" s="7">
        <v>0.07</v>
      </c>
      <c r="AB81" s="7">
        <v>1.53</v>
      </c>
      <c r="AC81" s="7">
        <v>0.012</v>
      </c>
      <c r="AD81" s="7">
        <v>0.001</v>
      </c>
      <c r="AE81" s="7">
        <v>0.237</v>
      </c>
      <c r="AF81" s="7">
        <v>0.12</v>
      </c>
      <c r="AG81" s="7">
        <v>0.04</v>
      </c>
      <c r="AH81" s="7">
        <v>0.59</v>
      </c>
      <c r="AI81" s="7">
        <v>0.03</v>
      </c>
      <c r="AJ81" s="7">
        <v>0.003</v>
      </c>
      <c r="AK81" s="7">
        <v>0.034</v>
      </c>
      <c r="AL81" s="7">
        <v>0.006</v>
      </c>
      <c r="AM81" s="7">
        <v>0.037</v>
      </c>
      <c r="AN81" s="7">
        <v>0.011</v>
      </c>
      <c r="AO81" s="7">
        <v>0.0001</v>
      </c>
      <c r="AP81" s="7">
        <v>0.0047</v>
      </c>
      <c r="AQ81" s="7">
        <v>0.0018</v>
      </c>
    </row>
    <row r="82" ht="30" customHeight="1">
      <c r="A82" s="6">
        <v>5717375</v>
      </c>
      <c r="C82" s="7" t="s">
        <v>43</v>
      </c>
      <c r="D82" s="7" t="s">
        <v>44</v>
      </c>
      <c r="E82" s="6">
        <v>0.161</v>
      </c>
      <c r="F82" s="7" t="s">
        <v>45</v>
      </c>
      <c r="G82" s="8">
        <v>38.52</v>
      </c>
      <c r="H82" s="9">
        <v>49400</v>
      </c>
      <c r="I82" s="10">
        <f t="shared" si="0"/>
        <v>24.7</v>
      </c>
      <c r="J82" s="10">
        <f t="shared" si="1"/>
        <v>494</v>
      </c>
      <c r="K82" s="7" t="s">
        <v>57</v>
      </c>
      <c r="V82" s="7" t="s">
        <v>47</v>
      </c>
      <c r="W82" s="7" t="s">
        <v>225</v>
      </c>
      <c r="X82" s="7" t="s">
        <v>226</v>
      </c>
      <c r="Y82" s="7" t="s">
        <v>148</v>
      </c>
      <c r="Z82" s="7" t="s">
        <v>227</v>
      </c>
      <c r="AA82" s="7">
        <v>0.07</v>
      </c>
      <c r="AB82" s="7">
        <v>1.55</v>
      </c>
      <c r="AC82" s="7">
        <v>0.016</v>
      </c>
      <c r="AD82" s="7">
        <v>0.002</v>
      </c>
      <c r="AE82" s="7">
        <v>0.245</v>
      </c>
      <c r="AF82" s="7">
        <v>0.14</v>
      </c>
      <c r="AG82" s="7">
        <v>0.03</v>
      </c>
      <c r="AH82" s="7">
        <v>0.6</v>
      </c>
      <c r="AI82" s="7">
        <v>0.02</v>
      </c>
      <c r="AJ82" s="7">
        <v>0.006</v>
      </c>
      <c r="AK82" s="7">
        <v>0.033</v>
      </c>
      <c r="AL82" s="7">
        <v>0.006</v>
      </c>
      <c r="AM82" s="7">
        <v>0.035</v>
      </c>
      <c r="AN82" s="7">
        <v>0.011</v>
      </c>
      <c r="AO82" s="7">
        <v>0.0001</v>
      </c>
      <c r="AP82" s="7">
        <v>0.0063</v>
      </c>
      <c r="AQ82" s="7">
        <v>0.0019</v>
      </c>
    </row>
    <row r="83" ht="30" customHeight="1">
      <c r="A83" s="6">
        <v>5539036</v>
      </c>
      <c r="C83" s="7" t="s">
        <v>51</v>
      </c>
      <c r="D83" s="7" t="s">
        <v>44</v>
      </c>
      <c r="E83" s="6">
        <v>0.161</v>
      </c>
      <c r="F83" s="7" t="s">
        <v>45</v>
      </c>
      <c r="G83" s="8">
        <v>55.46</v>
      </c>
      <c r="H83" s="9">
        <v>52920</v>
      </c>
      <c r="I83" s="10">
        <f t="shared" si="0"/>
        <v>26.46</v>
      </c>
      <c r="J83" s="10">
        <f t="shared" si="1"/>
        <v>529.2</v>
      </c>
      <c r="K83" s="7" t="s">
        <v>86</v>
      </c>
      <c r="V83" s="7" t="s">
        <v>47</v>
      </c>
      <c r="W83" s="7" t="s">
        <v>98</v>
      </c>
      <c r="X83" s="7" t="s">
        <v>148</v>
      </c>
      <c r="Y83" s="7" t="s">
        <v>50</v>
      </c>
      <c r="Z83" s="7" t="s">
        <v>228</v>
      </c>
      <c r="AA83" s="7">
        <v>0.05</v>
      </c>
      <c r="AB83" s="7">
        <v>0.74</v>
      </c>
      <c r="AC83" s="7">
        <v>0.008</v>
      </c>
      <c r="AD83" s="7">
        <v>0.002</v>
      </c>
      <c r="AE83" s="7">
        <v>0.191</v>
      </c>
      <c r="AF83" s="7">
        <v>0.13</v>
      </c>
      <c r="AG83" s="7">
        <v>0.04</v>
      </c>
      <c r="AH83" s="7">
        <v>0.05</v>
      </c>
      <c r="AI83" s="7">
        <v>0.01</v>
      </c>
      <c r="AJ83" s="7">
        <v>0.005</v>
      </c>
      <c r="AK83" s="7">
        <v>0.054</v>
      </c>
      <c r="AL83" s="7">
        <v>0.005</v>
      </c>
      <c r="AM83" s="7">
        <v>0.001</v>
      </c>
      <c r="AN83" s="7">
        <v>0.046</v>
      </c>
      <c r="AO83" s="7">
        <v>0.0002</v>
      </c>
      <c r="AP83" s="7">
        <v>0.0063</v>
      </c>
      <c r="AQ83" s="7">
        <v>0.0016</v>
      </c>
    </row>
    <row r="84" ht="30" customHeight="1">
      <c r="A84" s="6">
        <v>5604515</v>
      </c>
      <c r="C84" s="7" t="s">
        <v>51</v>
      </c>
      <c r="D84" s="7" t="s">
        <v>44</v>
      </c>
      <c r="E84" s="6">
        <v>0.165</v>
      </c>
      <c r="F84" s="7" t="s">
        <v>45</v>
      </c>
      <c r="G84" s="8">
        <v>51</v>
      </c>
      <c r="H84" s="9">
        <v>52340</v>
      </c>
      <c r="I84" s="10">
        <f t="shared" si="0"/>
        <v>26.17</v>
      </c>
      <c r="J84" s="10">
        <f t="shared" si="1"/>
        <v>523.4</v>
      </c>
      <c r="K84" s="7" t="s">
        <v>46</v>
      </c>
      <c r="V84" s="7" t="s">
        <v>47</v>
      </c>
      <c r="W84" s="7" t="s">
        <v>157</v>
      </c>
      <c r="X84" s="7" t="s">
        <v>229</v>
      </c>
      <c r="Y84" s="7" t="s">
        <v>50</v>
      </c>
      <c r="Z84" s="7" t="s">
        <v>230</v>
      </c>
      <c r="AA84" s="7">
        <v>0.06</v>
      </c>
      <c r="AB84" s="7">
        <v>1.36</v>
      </c>
      <c r="AC84" s="7">
        <v>0.009</v>
      </c>
      <c r="AD84" s="7">
        <v>0</v>
      </c>
      <c r="AE84" s="7">
        <v>0.219</v>
      </c>
      <c r="AF84" s="7">
        <v>0.11</v>
      </c>
      <c r="AG84" s="7">
        <v>0.05</v>
      </c>
      <c r="AH84" s="7">
        <v>0.07</v>
      </c>
      <c r="AI84" s="7">
        <v>0.04</v>
      </c>
      <c r="AJ84" s="7">
        <v>0.006</v>
      </c>
      <c r="AK84" s="7">
        <v>0.06</v>
      </c>
      <c r="AL84" s="7">
        <v>0.016</v>
      </c>
      <c r="AM84" s="7">
        <v>0.035</v>
      </c>
      <c r="AN84" s="7">
        <v>0.126</v>
      </c>
      <c r="AO84" s="7">
        <v>0.0001</v>
      </c>
      <c r="AP84" s="7">
        <v>0.0081</v>
      </c>
      <c r="AQ84" s="7">
        <v>0.0017</v>
      </c>
    </row>
    <row r="85" ht="30" customHeight="1">
      <c r="A85" s="6">
        <v>5596366</v>
      </c>
      <c r="C85" s="7" t="s">
        <v>51</v>
      </c>
      <c r="D85" s="7" t="s">
        <v>44</v>
      </c>
      <c r="E85" s="6">
        <v>0.165</v>
      </c>
      <c r="F85" s="7" t="s">
        <v>45</v>
      </c>
      <c r="G85" s="8">
        <v>51.66</v>
      </c>
      <c r="H85" s="9">
        <v>47160</v>
      </c>
      <c r="I85" s="10">
        <f t="shared" si="0"/>
        <v>23.58</v>
      </c>
      <c r="J85" s="10">
        <f t="shared" si="1"/>
        <v>471.6</v>
      </c>
      <c r="K85" s="7" t="s">
        <v>46</v>
      </c>
      <c r="V85" s="7" t="s">
        <v>47</v>
      </c>
      <c r="W85" s="7" t="s">
        <v>98</v>
      </c>
      <c r="X85" s="7" t="s">
        <v>116</v>
      </c>
      <c r="Z85" s="7" t="s">
        <v>231</v>
      </c>
      <c r="AA85" s="7">
        <v>0.05</v>
      </c>
      <c r="AB85" s="7">
        <v>1.4</v>
      </c>
      <c r="AC85" s="7">
        <v>0.01</v>
      </c>
      <c r="AD85" s="7">
        <v>0.001</v>
      </c>
      <c r="AE85" s="7">
        <v>0.211</v>
      </c>
      <c r="AF85" s="7">
        <v>0.13</v>
      </c>
      <c r="AG85" s="7">
        <v>0.04</v>
      </c>
      <c r="AH85" s="7">
        <v>0.07</v>
      </c>
      <c r="AI85" s="7">
        <v>0.03</v>
      </c>
      <c r="AJ85" s="7">
        <v>0.005</v>
      </c>
      <c r="AK85" s="7">
        <v>0.053</v>
      </c>
      <c r="AL85" s="7">
        <v>0.016</v>
      </c>
      <c r="AM85" s="7">
        <v>0.038</v>
      </c>
      <c r="AN85" s="7">
        <v>0.122</v>
      </c>
      <c r="AO85" s="7">
        <v>0.0001</v>
      </c>
      <c r="AP85" s="7">
        <v>0.0069</v>
      </c>
      <c r="AQ85" s="7">
        <v>0.0012</v>
      </c>
    </row>
    <row r="86" ht="30" customHeight="1">
      <c r="A86" s="6">
        <v>5676466</v>
      </c>
      <c r="C86" s="7" t="s">
        <v>51</v>
      </c>
      <c r="D86" s="7" t="s">
        <v>44</v>
      </c>
      <c r="E86" s="6">
        <v>0.166</v>
      </c>
      <c r="F86" s="7" t="s">
        <v>45</v>
      </c>
      <c r="G86" s="8">
        <v>59</v>
      </c>
      <c r="H86" s="9">
        <v>56800</v>
      </c>
      <c r="I86" s="10">
        <f t="shared" si="0"/>
        <v>28.4</v>
      </c>
      <c r="J86" s="10">
        <f t="shared" si="1"/>
        <v>568</v>
      </c>
      <c r="K86" s="7" t="s">
        <v>232</v>
      </c>
      <c r="V86" s="7" t="s">
        <v>47</v>
      </c>
      <c r="W86" s="7" t="s">
        <v>95</v>
      </c>
      <c r="X86" s="7" t="s">
        <v>154</v>
      </c>
      <c r="Y86" s="7" t="s">
        <v>50</v>
      </c>
      <c r="Z86" s="7" t="s">
        <v>233</v>
      </c>
      <c r="AA86" s="7">
        <v>0.05</v>
      </c>
      <c r="AB86" s="7">
        <v>0.77</v>
      </c>
      <c r="AC86" s="7">
        <v>0.055</v>
      </c>
      <c r="AD86" s="7">
        <v>0.002</v>
      </c>
      <c r="AE86" s="7">
        <v>0.327</v>
      </c>
      <c r="AF86" s="7">
        <v>0.11</v>
      </c>
      <c r="AG86" s="7">
        <v>0.03</v>
      </c>
      <c r="AH86" s="7">
        <v>0.05</v>
      </c>
      <c r="AI86" s="7">
        <v>0.01</v>
      </c>
      <c r="AJ86" s="7">
        <v>0.004</v>
      </c>
      <c r="AK86" s="7">
        <v>0.033</v>
      </c>
      <c r="AL86" s="7">
        <v>0.004</v>
      </c>
      <c r="AM86" s="7">
        <v>0.001</v>
      </c>
      <c r="AN86" s="7">
        <v>0.003</v>
      </c>
      <c r="AO86" s="7">
        <v>0.0001</v>
      </c>
      <c r="AP86" s="7">
        <v>0.0115</v>
      </c>
      <c r="AQ86" s="7">
        <v>0.0013</v>
      </c>
    </row>
    <row r="87" ht="30" customHeight="1">
      <c r="A87" s="6">
        <v>5691006</v>
      </c>
      <c r="C87" s="7" t="s">
        <v>51</v>
      </c>
      <c r="D87" s="7" t="s">
        <v>44</v>
      </c>
      <c r="E87" s="6">
        <v>0.17</v>
      </c>
      <c r="F87" s="7" t="s">
        <v>45</v>
      </c>
      <c r="G87" s="8">
        <v>58.7</v>
      </c>
      <c r="H87" s="9">
        <v>49280</v>
      </c>
      <c r="I87" s="10">
        <f t="shared" si="0"/>
        <v>24.64</v>
      </c>
      <c r="J87" s="10">
        <f t="shared" si="1"/>
        <v>492.8</v>
      </c>
      <c r="K87" s="7" t="s">
        <v>57</v>
      </c>
      <c r="V87" s="7" t="s">
        <v>52</v>
      </c>
      <c r="W87" s="7" t="s">
        <v>234</v>
      </c>
      <c r="X87" s="7" t="s">
        <v>96</v>
      </c>
      <c r="Y87" s="7" t="s">
        <v>50</v>
      </c>
      <c r="Z87" s="7" t="s">
        <v>235</v>
      </c>
      <c r="AA87" s="7">
        <v>0.07</v>
      </c>
      <c r="AB87" s="7">
        <v>1.57</v>
      </c>
      <c r="AC87" s="7">
        <v>0.011</v>
      </c>
      <c r="AD87" s="7">
        <v>0.002</v>
      </c>
      <c r="AE87" s="7">
        <v>0.241</v>
      </c>
      <c r="AF87" s="7">
        <v>0.11</v>
      </c>
      <c r="AG87" s="7">
        <v>0.04</v>
      </c>
      <c r="AH87" s="7">
        <v>0.6</v>
      </c>
      <c r="AI87" s="7">
        <v>0.02</v>
      </c>
      <c r="AJ87" s="7">
        <v>0.002</v>
      </c>
      <c r="AK87" s="7">
        <v>0.034</v>
      </c>
      <c r="AL87" s="7">
        <v>0.007</v>
      </c>
      <c r="AM87" s="7">
        <v>0.036</v>
      </c>
      <c r="AN87" s="7">
        <v>0.012</v>
      </c>
      <c r="AO87" s="7">
        <v>0.0003</v>
      </c>
      <c r="AP87" s="7">
        <v>0.0052</v>
      </c>
      <c r="AQ87" s="7">
        <v>0.0013</v>
      </c>
    </row>
    <row r="88" ht="60" customHeight="1">
      <c r="A88" s="6">
        <v>5667788</v>
      </c>
      <c r="C88" s="7" t="s">
        <v>51</v>
      </c>
      <c r="D88" s="7" t="s">
        <v>44</v>
      </c>
      <c r="E88" s="6">
        <v>0.175</v>
      </c>
      <c r="F88" s="7" t="s">
        <v>45</v>
      </c>
      <c r="G88" s="8">
        <v>61.23</v>
      </c>
      <c r="H88" s="9">
        <v>73104</v>
      </c>
      <c r="I88" s="10">
        <f t="shared" si="0"/>
        <v>36.552</v>
      </c>
      <c r="J88" s="10">
        <f t="shared" si="1"/>
        <v>731.04</v>
      </c>
      <c r="K88" s="7" t="s">
        <v>57</v>
      </c>
      <c r="V88" s="7" t="s">
        <v>47</v>
      </c>
      <c r="W88" s="7" t="s">
        <v>95</v>
      </c>
      <c r="X88" s="7" t="s">
        <v>106</v>
      </c>
      <c r="Y88" s="7" t="s">
        <v>69</v>
      </c>
      <c r="Z88" s="7" t="s">
        <v>236</v>
      </c>
      <c r="AA88" s="7">
        <v>0.07</v>
      </c>
      <c r="AB88" s="7">
        <v>1.53</v>
      </c>
      <c r="AC88" s="7">
        <v>0.014</v>
      </c>
      <c r="AD88" s="7">
        <v>0</v>
      </c>
      <c r="AE88" s="7">
        <v>0.259</v>
      </c>
      <c r="AF88" s="7">
        <v>0.12</v>
      </c>
      <c r="AG88" s="7">
        <v>0.03</v>
      </c>
      <c r="AH88" s="7">
        <v>0.56</v>
      </c>
      <c r="AI88" s="7">
        <v>0.02</v>
      </c>
      <c r="AJ88" s="7">
        <v>0.003</v>
      </c>
      <c r="AK88" s="7">
        <v>0.034</v>
      </c>
      <c r="AL88" s="7">
        <v>0.006</v>
      </c>
      <c r="AM88" s="7">
        <v>0.034</v>
      </c>
      <c r="AN88" s="7">
        <v>0.011</v>
      </c>
      <c r="AO88" s="7">
        <v>0.0001</v>
      </c>
      <c r="AP88" s="7">
        <v>0.0058</v>
      </c>
      <c r="AQ88" s="7">
        <v>0.002</v>
      </c>
    </row>
    <row r="89" ht="30" customHeight="1">
      <c r="A89" s="6">
        <v>5657368</v>
      </c>
      <c r="C89" s="7" t="s">
        <v>51</v>
      </c>
      <c r="D89" s="7" t="s">
        <v>44</v>
      </c>
      <c r="E89" s="6">
        <v>0.184</v>
      </c>
      <c r="F89" s="7" t="s">
        <v>63</v>
      </c>
      <c r="G89" s="8">
        <v>61.87</v>
      </c>
      <c r="H89" s="9">
        <v>77580</v>
      </c>
      <c r="I89" s="10">
        <f t="shared" si="0"/>
        <v>38.79</v>
      </c>
      <c r="J89" s="10">
        <f t="shared" si="1"/>
        <v>775.8</v>
      </c>
      <c r="K89" s="7" t="s">
        <v>64</v>
      </c>
      <c r="V89" s="7" t="s">
        <v>47</v>
      </c>
      <c r="W89" s="7" t="s">
        <v>82</v>
      </c>
      <c r="X89" s="7" t="s">
        <v>59</v>
      </c>
      <c r="Y89" s="7" t="s">
        <v>237</v>
      </c>
      <c r="Z89" s="7" t="s">
        <v>238</v>
      </c>
      <c r="AA89" s="7">
        <v>0.06</v>
      </c>
      <c r="AB89" s="7">
        <v>0.39</v>
      </c>
      <c r="AC89" s="7">
        <v>0.011</v>
      </c>
      <c r="AD89" s="7">
        <v>0.003</v>
      </c>
      <c r="AE89" s="7">
        <v>0.018</v>
      </c>
      <c r="AF89" s="7">
        <v>0.11</v>
      </c>
      <c r="AG89" s="7">
        <v>0.03</v>
      </c>
      <c r="AH89" s="7">
        <v>0.06</v>
      </c>
      <c r="AI89" s="7">
        <v>0.01</v>
      </c>
      <c r="AJ89" s="7">
        <v>0.004</v>
      </c>
      <c r="AK89" s="7">
        <v>0.024</v>
      </c>
      <c r="AL89" s="7">
        <v>0.002</v>
      </c>
      <c r="AM89" s="7">
        <v>0.001</v>
      </c>
      <c r="AN89" s="7">
        <v>0.001</v>
      </c>
      <c r="AO89" s="7">
        <v>0.0001</v>
      </c>
      <c r="AP89" s="7">
        <v>0.005</v>
      </c>
      <c r="AQ89" s="7">
        <v>0.0017</v>
      </c>
    </row>
    <row r="90" ht="15" customHeight="1">
      <c r="A90" s="6">
        <v>5483179</v>
      </c>
      <c r="C90" s="7" t="s">
        <v>51</v>
      </c>
      <c r="D90" s="7" t="s">
        <v>44</v>
      </c>
      <c r="E90" s="6">
        <v>0.185</v>
      </c>
      <c r="F90" s="7" t="s">
        <v>63</v>
      </c>
      <c r="G90" s="8">
        <v>42.16</v>
      </c>
      <c r="H90" s="9">
        <v>42500</v>
      </c>
      <c r="I90" s="10">
        <f t="shared" si="0"/>
        <v>21.25</v>
      </c>
      <c r="J90" s="10">
        <f t="shared" si="1"/>
        <v>425</v>
      </c>
      <c r="K90" s="7" t="s">
        <v>112</v>
      </c>
      <c r="V90" s="7" t="s">
        <v>47</v>
      </c>
      <c r="W90" s="7" t="s">
        <v>113</v>
      </c>
      <c r="X90" s="7" t="s">
        <v>239</v>
      </c>
      <c r="AA90" s="7">
        <v>0.07</v>
      </c>
      <c r="AB90" s="7">
        <v>1.44</v>
      </c>
      <c r="AC90" s="7">
        <v>0.012</v>
      </c>
      <c r="AD90" s="7">
        <v>0.001</v>
      </c>
      <c r="AE90" s="7">
        <v>0.224</v>
      </c>
      <c r="AF90" s="7">
        <v>0.11</v>
      </c>
      <c r="AG90" s="7">
        <v>0.03</v>
      </c>
      <c r="AH90" s="7">
        <v>0.71</v>
      </c>
      <c r="AI90" s="7">
        <v>0.17</v>
      </c>
      <c r="AJ90" s="7">
        <v>0.003</v>
      </c>
      <c r="AK90" s="7">
        <v>0.03</v>
      </c>
      <c r="AL90" s="7">
        <v>0.005</v>
      </c>
      <c r="AM90" s="7">
        <v>0.002</v>
      </c>
      <c r="AN90" s="7">
        <v>0.002</v>
      </c>
      <c r="AO90" s="7">
        <v>0.0001</v>
      </c>
      <c r="AP90" s="7">
        <v>0.006</v>
      </c>
      <c r="AQ90" s="7">
        <v>0.0018</v>
      </c>
    </row>
    <row r="91" ht="30" customHeight="1">
      <c r="A91" s="6">
        <v>5483181</v>
      </c>
      <c r="C91" s="7" t="s">
        <v>51</v>
      </c>
      <c r="D91" s="7" t="s">
        <v>44</v>
      </c>
      <c r="E91" s="6">
        <v>0.185</v>
      </c>
      <c r="F91" s="7" t="s">
        <v>63</v>
      </c>
      <c r="G91" s="8">
        <v>42.22</v>
      </c>
      <c r="H91" s="9">
        <v>42380</v>
      </c>
      <c r="I91" s="10">
        <f t="shared" si="0"/>
        <v>21.19</v>
      </c>
      <c r="J91" s="10">
        <f t="shared" si="1"/>
        <v>423.8</v>
      </c>
      <c r="K91" s="7" t="s">
        <v>112</v>
      </c>
      <c r="V91" s="7" t="s">
        <v>47</v>
      </c>
      <c r="W91" s="7" t="s">
        <v>240</v>
      </c>
      <c r="X91" s="7" t="s">
        <v>116</v>
      </c>
      <c r="Y91" s="7" t="s">
        <v>187</v>
      </c>
      <c r="AA91" s="7">
        <v>0.07</v>
      </c>
      <c r="AB91" s="7">
        <v>1.44</v>
      </c>
      <c r="AC91" s="7">
        <v>0.012</v>
      </c>
      <c r="AD91" s="7">
        <v>0.001</v>
      </c>
      <c r="AE91" s="7">
        <v>0.224</v>
      </c>
      <c r="AF91" s="7">
        <v>0.11</v>
      </c>
      <c r="AG91" s="7">
        <v>0.03</v>
      </c>
      <c r="AH91" s="7">
        <v>0.71</v>
      </c>
      <c r="AI91" s="7">
        <v>0.17</v>
      </c>
      <c r="AJ91" s="7">
        <v>0.003</v>
      </c>
      <c r="AK91" s="7">
        <v>0.03</v>
      </c>
      <c r="AL91" s="7">
        <v>0.005</v>
      </c>
      <c r="AM91" s="7">
        <v>0.002</v>
      </c>
      <c r="AN91" s="7">
        <v>0.002</v>
      </c>
      <c r="AO91" s="7">
        <v>0.0001</v>
      </c>
      <c r="AP91" s="7">
        <v>0.006</v>
      </c>
      <c r="AQ91" s="7">
        <v>0.0018</v>
      </c>
    </row>
    <row r="92" ht="30" customHeight="1">
      <c r="A92" s="6">
        <v>5717357</v>
      </c>
      <c r="C92" s="7" t="s">
        <v>43</v>
      </c>
      <c r="D92" s="7" t="s">
        <v>44</v>
      </c>
      <c r="E92" s="6">
        <v>0.185</v>
      </c>
      <c r="F92" s="7" t="s">
        <v>45</v>
      </c>
      <c r="G92" s="8">
        <v>42.49</v>
      </c>
      <c r="H92" s="9">
        <v>39800</v>
      </c>
      <c r="I92" s="10">
        <f t="shared" si="0"/>
        <v>19.9</v>
      </c>
      <c r="J92" s="10">
        <f t="shared" si="1"/>
        <v>398</v>
      </c>
      <c r="K92" s="7" t="s">
        <v>121</v>
      </c>
      <c r="V92" s="7" t="s">
        <v>47</v>
      </c>
      <c r="W92" s="7" t="s">
        <v>48</v>
      </c>
      <c r="X92" s="7" t="s">
        <v>49</v>
      </c>
      <c r="AA92" s="7">
        <v>0.07</v>
      </c>
      <c r="AB92" s="7">
        <v>1.55</v>
      </c>
      <c r="AC92" s="7">
        <v>0.014</v>
      </c>
      <c r="AD92" s="7">
        <v>0.001</v>
      </c>
      <c r="AE92" s="7">
        <v>0.254</v>
      </c>
      <c r="AF92" s="7">
        <v>0.16</v>
      </c>
      <c r="AG92" s="7">
        <v>0.04</v>
      </c>
      <c r="AH92" s="7">
        <v>0.59</v>
      </c>
      <c r="AI92" s="7">
        <v>0.03</v>
      </c>
      <c r="AJ92" s="7">
        <v>0.009</v>
      </c>
      <c r="AK92" s="7">
        <v>0.031</v>
      </c>
      <c r="AL92" s="7">
        <v>0.007</v>
      </c>
      <c r="AM92" s="7">
        <v>0.013</v>
      </c>
      <c r="AN92" s="7">
        <v>0.012</v>
      </c>
      <c r="AO92" s="7">
        <v>0.0003</v>
      </c>
      <c r="AP92" s="7">
        <v>0.0063</v>
      </c>
      <c r="AQ92" s="7">
        <v>0.0017</v>
      </c>
    </row>
    <row r="93" ht="15" customHeight="1">
      <c r="A93" s="6">
        <v>5487107</v>
      </c>
      <c r="C93" s="7" t="s">
        <v>51</v>
      </c>
      <c r="D93" s="7" t="s">
        <v>44</v>
      </c>
      <c r="E93" s="6">
        <v>0.185</v>
      </c>
      <c r="F93" s="7" t="s">
        <v>63</v>
      </c>
      <c r="G93" s="8">
        <v>43.02</v>
      </c>
      <c r="H93" s="9">
        <v>43240</v>
      </c>
      <c r="I93" s="10">
        <f t="shared" si="0"/>
        <v>21.62</v>
      </c>
      <c r="J93" s="10">
        <f t="shared" si="1"/>
        <v>432.4</v>
      </c>
      <c r="K93" s="7" t="s">
        <v>112</v>
      </c>
      <c r="V93" s="7" t="s">
        <v>47</v>
      </c>
      <c r="W93" s="7" t="s">
        <v>240</v>
      </c>
      <c r="X93" s="7" t="s">
        <v>116</v>
      </c>
      <c r="AA93" s="7">
        <v>0.07</v>
      </c>
      <c r="AB93" s="7">
        <v>1.44</v>
      </c>
      <c r="AC93" s="7">
        <v>0.012</v>
      </c>
      <c r="AD93" s="7">
        <v>0.001</v>
      </c>
      <c r="AE93" s="7">
        <v>0.224</v>
      </c>
      <c r="AF93" s="7">
        <v>0.11</v>
      </c>
      <c r="AG93" s="7">
        <v>0.03</v>
      </c>
      <c r="AH93" s="7">
        <v>0.71</v>
      </c>
      <c r="AI93" s="7">
        <v>0.17</v>
      </c>
      <c r="AJ93" s="7">
        <v>0.003</v>
      </c>
      <c r="AK93" s="7">
        <v>0.03</v>
      </c>
      <c r="AL93" s="7">
        <v>0.005</v>
      </c>
      <c r="AM93" s="7">
        <v>0.002</v>
      </c>
      <c r="AN93" s="7">
        <v>0.002</v>
      </c>
      <c r="AO93" s="7">
        <v>0.0001</v>
      </c>
      <c r="AP93" s="7">
        <v>0.006</v>
      </c>
      <c r="AQ93" s="7">
        <v>0.0018</v>
      </c>
    </row>
    <row r="94" ht="15" customHeight="1">
      <c r="A94" s="6">
        <v>5484929</v>
      </c>
      <c r="C94" s="7" t="s">
        <v>51</v>
      </c>
      <c r="D94" s="7" t="s">
        <v>44</v>
      </c>
      <c r="E94" s="6">
        <v>0.185</v>
      </c>
      <c r="F94" s="7" t="s">
        <v>63</v>
      </c>
      <c r="G94" s="8">
        <v>43.03</v>
      </c>
      <c r="H94" s="9">
        <v>43340</v>
      </c>
      <c r="I94" s="10">
        <f t="shared" si="0"/>
        <v>21.67</v>
      </c>
      <c r="J94" s="10">
        <f t="shared" si="1"/>
        <v>433.4</v>
      </c>
      <c r="K94" s="7" t="s">
        <v>112</v>
      </c>
      <c r="V94" s="7" t="s">
        <v>47</v>
      </c>
      <c r="W94" s="7" t="s">
        <v>240</v>
      </c>
      <c r="X94" s="7" t="s">
        <v>116</v>
      </c>
      <c r="AA94" s="7">
        <v>0.07</v>
      </c>
      <c r="AB94" s="7">
        <v>1.44</v>
      </c>
      <c r="AC94" s="7">
        <v>0.012</v>
      </c>
      <c r="AD94" s="7">
        <v>0.001</v>
      </c>
      <c r="AE94" s="7">
        <v>0.224</v>
      </c>
      <c r="AF94" s="7">
        <v>0.11</v>
      </c>
      <c r="AG94" s="7">
        <v>0.03</v>
      </c>
      <c r="AH94" s="7">
        <v>0.71</v>
      </c>
      <c r="AI94" s="7">
        <v>0.17</v>
      </c>
      <c r="AJ94" s="7">
        <v>0.003</v>
      </c>
      <c r="AK94" s="7">
        <v>0.03</v>
      </c>
      <c r="AL94" s="7">
        <v>0.005</v>
      </c>
      <c r="AM94" s="7">
        <v>0.002</v>
      </c>
      <c r="AN94" s="7">
        <v>0.002</v>
      </c>
      <c r="AO94" s="7">
        <v>0.0001</v>
      </c>
      <c r="AP94" s="7">
        <v>0.006</v>
      </c>
      <c r="AQ94" s="7">
        <v>0.0018</v>
      </c>
    </row>
    <row r="95" ht="30" customHeight="1">
      <c r="A95" s="6">
        <v>5510184</v>
      </c>
      <c r="C95" s="7" t="s">
        <v>51</v>
      </c>
      <c r="D95" s="7" t="s">
        <v>44</v>
      </c>
      <c r="E95" s="6">
        <v>0.185</v>
      </c>
      <c r="F95" s="7" t="s">
        <v>45</v>
      </c>
      <c r="G95" s="8">
        <v>49.99</v>
      </c>
      <c r="H95" s="9">
        <v>63700</v>
      </c>
      <c r="I95" s="10">
        <f t="shared" si="0"/>
        <v>31.85</v>
      </c>
      <c r="J95" s="10">
        <f t="shared" si="1"/>
        <v>637</v>
      </c>
      <c r="K95" s="7" t="s">
        <v>138</v>
      </c>
      <c r="V95" s="7" t="s">
        <v>47</v>
      </c>
      <c r="W95" s="7" t="s">
        <v>98</v>
      </c>
      <c r="X95" s="7" t="s">
        <v>148</v>
      </c>
      <c r="Y95" s="7" t="s">
        <v>50</v>
      </c>
      <c r="Z95" s="7" t="s">
        <v>241</v>
      </c>
      <c r="AA95" s="7">
        <v>0.05</v>
      </c>
      <c r="AB95" s="7">
        <v>1.53</v>
      </c>
      <c r="AC95" s="7">
        <v>0.01</v>
      </c>
      <c r="AD95" s="7">
        <v>0</v>
      </c>
      <c r="AE95" s="7">
        <v>0.217</v>
      </c>
      <c r="AF95" s="7">
        <v>0.1</v>
      </c>
      <c r="AG95" s="7">
        <v>0.09</v>
      </c>
      <c r="AH95" s="7">
        <v>0.11</v>
      </c>
      <c r="AI95" s="7">
        <v>0.11</v>
      </c>
      <c r="AJ95" s="7">
        <v>0.004</v>
      </c>
      <c r="AK95" s="7">
        <v>0.046</v>
      </c>
      <c r="AL95" s="7">
        <v>0.009</v>
      </c>
      <c r="AM95" s="7">
        <v>0.046</v>
      </c>
      <c r="AN95" s="7">
        <v>0.099</v>
      </c>
      <c r="AO95" s="7">
        <v>0.0001</v>
      </c>
      <c r="AP95" s="7">
        <v>0.0071</v>
      </c>
      <c r="AQ95" s="7">
        <v>0.0035</v>
      </c>
    </row>
    <row r="96" ht="30" customHeight="1">
      <c r="A96" s="6">
        <v>5397958</v>
      </c>
      <c r="C96" s="7" t="s">
        <v>51</v>
      </c>
      <c r="D96" s="7" t="s">
        <v>44</v>
      </c>
      <c r="E96" s="6">
        <v>0.185</v>
      </c>
      <c r="F96" s="7" t="s">
        <v>45</v>
      </c>
      <c r="G96" s="8">
        <v>53.34</v>
      </c>
      <c r="H96" s="9">
        <v>68500</v>
      </c>
      <c r="I96" s="10">
        <f t="shared" si="0"/>
        <v>34.25</v>
      </c>
      <c r="J96" s="10">
        <f t="shared" si="1"/>
        <v>685</v>
      </c>
      <c r="K96" s="7" t="s">
        <v>57</v>
      </c>
      <c r="V96" s="7" t="s">
        <v>47</v>
      </c>
      <c r="W96" s="7" t="s">
        <v>98</v>
      </c>
      <c r="X96" s="7" t="s">
        <v>129</v>
      </c>
      <c r="Y96" s="7" t="s">
        <v>110</v>
      </c>
      <c r="Z96" s="7" t="s">
        <v>242</v>
      </c>
      <c r="AA96" s="7">
        <v>0.07</v>
      </c>
      <c r="AB96" s="7">
        <v>1.6</v>
      </c>
      <c r="AC96" s="7">
        <v>0.01</v>
      </c>
      <c r="AD96" s="7">
        <v>0</v>
      </c>
      <c r="AE96" s="7">
        <v>0.285</v>
      </c>
      <c r="AF96" s="7">
        <v>0.14</v>
      </c>
      <c r="AG96" s="7">
        <v>0.03</v>
      </c>
      <c r="AH96" s="7">
        <v>0.61</v>
      </c>
      <c r="AI96" s="7">
        <v>0.01</v>
      </c>
      <c r="AJ96" s="7">
        <v>0.003</v>
      </c>
      <c r="AK96" s="7">
        <v>0.036</v>
      </c>
      <c r="AL96" s="7">
        <v>0.005</v>
      </c>
      <c r="AM96" s="7">
        <v>0.037</v>
      </c>
      <c r="AN96" s="7">
        <v>0.012</v>
      </c>
      <c r="AO96" s="7">
        <v>0.0001</v>
      </c>
      <c r="AP96" s="7">
        <v>0.0069</v>
      </c>
      <c r="AQ96" s="7">
        <v>0.0017</v>
      </c>
    </row>
    <row r="97" ht="30" customHeight="1">
      <c r="A97" s="6">
        <v>5584143</v>
      </c>
      <c r="C97" s="7" t="s">
        <v>51</v>
      </c>
      <c r="D97" s="7" t="s">
        <v>44</v>
      </c>
      <c r="E97" s="6">
        <v>0.185</v>
      </c>
      <c r="F97" s="7" t="s">
        <v>45</v>
      </c>
      <c r="G97" s="8">
        <v>53.85</v>
      </c>
      <c r="H97" s="9">
        <v>52220</v>
      </c>
      <c r="I97" s="10">
        <f t="shared" si="0"/>
        <v>26.11</v>
      </c>
      <c r="J97" s="10">
        <f t="shared" si="1"/>
        <v>522.2</v>
      </c>
      <c r="K97" s="7" t="s">
        <v>243</v>
      </c>
      <c r="V97" s="7" t="s">
        <v>47</v>
      </c>
      <c r="W97" s="7" t="s">
        <v>244</v>
      </c>
      <c r="X97" s="7" t="s">
        <v>50</v>
      </c>
      <c r="Y97" s="7" t="s">
        <v>245</v>
      </c>
      <c r="Z97" s="7" t="s">
        <v>246</v>
      </c>
      <c r="AA97" s="7">
        <v>0.26</v>
      </c>
      <c r="AB97" s="7">
        <v>0.5</v>
      </c>
      <c r="AC97" s="7">
        <v>0.009</v>
      </c>
      <c r="AD97" s="7">
        <v>0.001</v>
      </c>
      <c r="AE97" s="7">
        <v>0.295</v>
      </c>
      <c r="AF97" s="7">
        <v>0.09</v>
      </c>
      <c r="AG97" s="7">
        <v>0.52</v>
      </c>
      <c r="AH97" s="7">
        <v>0.51</v>
      </c>
      <c r="AI97" s="7">
        <v>0.3</v>
      </c>
      <c r="AJ97" s="7">
        <v>0.004</v>
      </c>
      <c r="AK97" s="7">
        <v>0.037</v>
      </c>
      <c r="AL97" s="7">
        <v>0.003</v>
      </c>
      <c r="AM97" s="7">
        <v>0.002</v>
      </c>
      <c r="AN97" s="7">
        <v>0.002</v>
      </c>
      <c r="AO97" s="7">
        <v>0.0001</v>
      </c>
      <c r="AP97" s="7">
        <v>0.0073</v>
      </c>
      <c r="AQ97" s="7">
        <v>0.0008</v>
      </c>
    </row>
    <row r="98" ht="45" customHeight="1">
      <c r="A98" s="6">
        <v>5581676</v>
      </c>
      <c r="C98" s="7" t="s">
        <v>51</v>
      </c>
      <c r="D98" s="7" t="s">
        <v>44</v>
      </c>
      <c r="E98" s="6">
        <v>0.185</v>
      </c>
      <c r="F98" s="7" t="s">
        <v>45</v>
      </c>
      <c r="G98" s="8">
        <v>55.3</v>
      </c>
      <c r="H98" s="9">
        <v>50505</v>
      </c>
      <c r="I98" s="10">
        <f t="shared" si="0"/>
        <v>25.2525</v>
      </c>
      <c r="J98" s="10">
        <f t="shared" si="1"/>
        <v>505.05</v>
      </c>
      <c r="K98" s="7" t="s">
        <v>121</v>
      </c>
      <c r="V98" s="7" t="s">
        <v>58</v>
      </c>
      <c r="W98" s="7" t="s">
        <v>191</v>
      </c>
      <c r="X98" s="7" t="s">
        <v>125</v>
      </c>
      <c r="Y98" s="7" t="s">
        <v>247</v>
      </c>
      <c r="Z98" s="7" t="s">
        <v>248</v>
      </c>
      <c r="AA98" s="7">
        <v>0.07</v>
      </c>
      <c r="AB98" s="7">
        <v>1.53</v>
      </c>
      <c r="AC98" s="7">
        <v>0.016</v>
      </c>
      <c r="AD98" s="7">
        <v>0.001</v>
      </c>
      <c r="AE98" s="7">
        <v>0.242</v>
      </c>
      <c r="AF98" s="7">
        <v>0.1</v>
      </c>
      <c r="AG98" s="7">
        <v>0.03</v>
      </c>
      <c r="AH98" s="7">
        <v>0.64</v>
      </c>
      <c r="AI98" s="7">
        <v>0.01</v>
      </c>
      <c r="AJ98" s="7">
        <v>0.004</v>
      </c>
      <c r="AK98" s="7">
        <v>0.039</v>
      </c>
      <c r="AL98" s="7">
        <v>0.005</v>
      </c>
      <c r="AM98" s="7">
        <v>0.012</v>
      </c>
      <c r="AN98" s="7">
        <v>0.013</v>
      </c>
      <c r="AO98" s="7">
        <v>0.0001</v>
      </c>
      <c r="AP98" s="7">
        <v>0.0068</v>
      </c>
      <c r="AQ98" s="7">
        <v>0.0008</v>
      </c>
    </row>
    <row r="99" ht="30" customHeight="1">
      <c r="A99" s="6">
        <v>5681435</v>
      </c>
      <c r="C99" s="7" t="s">
        <v>51</v>
      </c>
      <c r="D99" s="7" t="s">
        <v>44</v>
      </c>
      <c r="E99" s="6">
        <v>0.185</v>
      </c>
      <c r="F99" s="7" t="s">
        <v>45</v>
      </c>
      <c r="G99" s="8">
        <v>55.36</v>
      </c>
      <c r="H99" s="9">
        <v>48540</v>
      </c>
      <c r="I99" s="10">
        <f t="shared" si="0"/>
        <v>24.27</v>
      </c>
      <c r="J99" s="10">
        <f t="shared" si="1"/>
        <v>485.4</v>
      </c>
      <c r="K99" s="7" t="s">
        <v>121</v>
      </c>
      <c r="V99" s="7" t="s">
        <v>47</v>
      </c>
      <c r="W99" s="7" t="s">
        <v>95</v>
      </c>
      <c r="X99" s="7" t="s">
        <v>136</v>
      </c>
      <c r="Y99" s="7" t="s">
        <v>110</v>
      </c>
      <c r="Z99" s="7" t="s">
        <v>249</v>
      </c>
      <c r="AA99" s="7">
        <v>0.07</v>
      </c>
      <c r="AB99" s="7">
        <v>1.5</v>
      </c>
      <c r="AC99" s="7">
        <v>0.011</v>
      </c>
      <c r="AD99" s="7">
        <v>0.003</v>
      </c>
      <c r="AE99" s="7">
        <v>0.265</v>
      </c>
      <c r="AF99" s="7">
        <v>0.11</v>
      </c>
      <c r="AG99" s="7">
        <v>0.04</v>
      </c>
      <c r="AH99" s="7">
        <v>0.58</v>
      </c>
      <c r="AI99" s="7">
        <v>0.01</v>
      </c>
      <c r="AJ99" s="7">
        <v>0.004</v>
      </c>
      <c r="AK99" s="7">
        <v>0.039</v>
      </c>
      <c r="AL99" s="7">
        <v>0.005</v>
      </c>
      <c r="AM99" s="7">
        <v>0.012</v>
      </c>
      <c r="AN99" s="7">
        <v>0.011</v>
      </c>
      <c r="AO99" s="7">
        <v>0.0002</v>
      </c>
      <c r="AP99" s="7">
        <v>0.0059</v>
      </c>
      <c r="AQ99" s="7">
        <v>0.0015</v>
      </c>
    </row>
    <row r="100" ht="30" customHeight="1">
      <c r="A100" s="6">
        <v>5626394</v>
      </c>
      <c r="C100" s="7" t="s">
        <v>51</v>
      </c>
      <c r="D100" s="7" t="s">
        <v>44</v>
      </c>
      <c r="E100" s="6">
        <v>0.185</v>
      </c>
      <c r="F100" s="7" t="s">
        <v>45</v>
      </c>
      <c r="G100" s="8">
        <v>55.39</v>
      </c>
      <c r="H100" s="9">
        <v>47560</v>
      </c>
      <c r="I100" s="10">
        <f t="shared" si="0"/>
        <v>23.78</v>
      </c>
      <c r="J100" s="10">
        <f t="shared" si="1"/>
        <v>475.6</v>
      </c>
      <c r="K100" s="7" t="s">
        <v>121</v>
      </c>
      <c r="V100" s="7" t="s">
        <v>47</v>
      </c>
      <c r="W100" s="7" t="s">
        <v>132</v>
      </c>
      <c r="X100" s="7" t="s">
        <v>250</v>
      </c>
      <c r="Y100" s="7" t="s">
        <v>187</v>
      </c>
      <c r="Z100" s="7" t="s">
        <v>251</v>
      </c>
      <c r="AA100" s="7">
        <v>0.07</v>
      </c>
      <c r="AB100" s="7">
        <v>1.52</v>
      </c>
      <c r="AC100" s="7">
        <v>0.012</v>
      </c>
      <c r="AD100" s="7">
        <v>0.002</v>
      </c>
      <c r="AE100" s="7">
        <v>0.249</v>
      </c>
      <c r="AF100" s="7">
        <v>0.11</v>
      </c>
      <c r="AG100" s="7">
        <v>0.03</v>
      </c>
      <c r="AH100" s="7">
        <v>0.6</v>
      </c>
      <c r="AI100" s="7">
        <v>0.02</v>
      </c>
      <c r="AJ100" s="7">
        <v>0.004</v>
      </c>
      <c r="AK100" s="7">
        <v>0.034</v>
      </c>
      <c r="AL100" s="7">
        <v>0.006</v>
      </c>
      <c r="AM100" s="7">
        <v>0.012</v>
      </c>
      <c r="AN100" s="7">
        <v>0.01</v>
      </c>
      <c r="AO100" s="7">
        <v>0.0004</v>
      </c>
      <c r="AP100" s="7">
        <v>0.0055</v>
      </c>
      <c r="AQ100" s="7">
        <v>0.0022</v>
      </c>
    </row>
    <row r="101" ht="30" customHeight="1">
      <c r="A101" s="6">
        <v>5627551</v>
      </c>
      <c r="C101" s="7" t="s">
        <v>51</v>
      </c>
      <c r="D101" s="7" t="s">
        <v>44</v>
      </c>
      <c r="E101" s="6">
        <v>0.185</v>
      </c>
      <c r="F101" s="7" t="s">
        <v>45</v>
      </c>
      <c r="G101" s="8">
        <v>55.4</v>
      </c>
      <c r="H101" s="9">
        <v>47460</v>
      </c>
      <c r="I101" s="10">
        <f t="shared" si="0"/>
        <v>23.73</v>
      </c>
      <c r="J101" s="10">
        <f t="shared" si="1"/>
        <v>474.6</v>
      </c>
      <c r="K101" s="7" t="s">
        <v>121</v>
      </c>
      <c r="V101" s="7" t="s">
        <v>58</v>
      </c>
      <c r="W101" s="7" t="s">
        <v>198</v>
      </c>
      <c r="X101" s="7" t="s">
        <v>192</v>
      </c>
      <c r="Y101" s="7" t="s">
        <v>61</v>
      </c>
      <c r="Z101" s="7" t="s">
        <v>252</v>
      </c>
      <c r="AA101" s="7">
        <v>0.07</v>
      </c>
      <c r="AB101" s="7">
        <v>1.52</v>
      </c>
      <c r="AC101" s="7">
        <v>0.012</v>
      </c>
      <c r="AD101" s="7">
        <v>0.002</v>
      </c>
      <c r="AE101" s="7">
        <v>0.249</v>
      </c>
      <c r="AF101" s="7">
        <v>0.11</v>
      </c>
      <c r="AG101" s="7">
        <v>0.03</v>
      </c>
      <c r="AH101" s="7">
        <v>0.6</v>
      </c>
      <c r="AI101" s="7">
        <v>0.02</v>
      </c>
      <c r="AJ101" s="7">
        <v>0.004</v>
      </c>
      <c r="AK101" s="7">
        <v>0.034</v>
      </c>
      <c r="AL101" s="7">
        <v>0.006</v>
      </c>
      <c r="AM101" s="7">
        <v>0.012</v>
      </c>
      <c r="AN101" s="7">
        <v>0.01</v>
      </c>
      <c r="AO101" s="7">
        <v>0.0004</v>
      </c>
      <c r="AP101" s="7">
        <v>0.0055</v>
      </c>
      <c r="AQ101" s="7">
        <v>0.0022</v>
      </c>
    </row>
    <row r="102" ht="60" customHeight="1">
      <c r="A102" s="6">
        <v>5581666</v>
      </c>
      <c r="C102" s="7" t="s">
        <v>51</v>
      </c>
      <c r="D102" s="7" t="s">
        <v>44</v>
      </c>
      <c r="E102" s="6">
        <v>0.185</v>
      </c>
      <c r="F102" s="7" t="s">
        <v>45</v>
      </c>
      <c r="G102" s="8">
        <v>55.43</v>
      </c>
      <c r="H102" s="9">
        <v>44460</v>
      </c>
      <c r="I102" s="10">
        <f t="shared" si="0"/>
        <v>22.23</v>
      </c>
      <c r="J102" s="10">
        <f t="shared" si="1"/>
        <v>444.6</v>
      </c>
      <c r="K102" s="7" t="s">
        <v>57</v>
      </c>
      <c r="V102" s="7" t="s">
        <v>47</v>
      </c>
      <c r="W102" s="7" t="s">
        <v>98</v>
      </c>
      <c r="X102" s="7" t="s">
        <v>253</v>
      </c>
      <c r="Y102" s="7" t="s">
        <v>110</v>
      </c>
      <c r="Z102" s="7" t="s">
        <v>254</v>
      </c>
      <c r="AA102" s="7">
        <v>0.07</v>
      </c>
      <c r="AB102" s="7">
        <v>1.59</v>
      </c>
      <c r="AC102" s="7">
        <v>0.013</v>
      </c>
      <c r="AD102" s="7">
        <v>0.001</v>
      </c>
      <c r="AE102" s="7">
        <v>0.246</v>
      </c>
      <c r="AF102" s="7">
        <v>0.1</v>
      </c>
      <c r="AG102" s="7">
        <v>0.04</v>
      </c>
      <c r="AH102" s="7">
        <v>0.61</v>
      </c>
      <c r="AI102" s="7">
        <v>0.02</v>
      </c>
      <c r="AJ102" s="7">
        <v>0.003</v>
      </c>
      <c r="AK102" s="7">
        <v>0.033</v>
      </c>
      <c r="AL102" s="7">
        <v>0</v>
      </c>
      <c r="AM102" s="7">
        <v>0.037</v>
      </c>
      <c r="AN102" s="7">
        <v>0.013</v>
      </c>
      <c r="AO102" s="7">
        <v>0.0002</v>
      </c>
      <c r="AP102" s="7">
        <v>0.0055</v>
      </c>
      <c r="AQ102" s="7">
        <v>0.0016</v>
      </c>
    </row>
    <row r="103" ht="30" customHeight="1">
      <c r="A103" s="6">
        <v>5510104</v>
      </c>
      <c r="C103" s="7" t="s">
        <v>51</v>
      </c>
      <c r="D103" s="7" t="s">
        <v>44</v>
      </c>
      <c r="E103" s="6">
        <v>0.185</v>
      </c>
      <c r="F103" s="7" t="s">
        <v>45</v>
      </c>
      <c r="G103" s="8">
        <v>55.58</v>
      </c>
      <c r="H103" s="9">
        <v>55740</v>
      </c>
      <c r="I103" s="10">
        <f t="shared" si="0"/>
        <v>27.87</v>
      </c>
      <c r="J103" s="10">
        <f t="shared" si="1"/>
        <v>557.4</v>
      </c>
      <c r="K103" s="7" t="s">
        <v>46</v>
      </c>
      <c r="V103" s="7" t="s">
        <v>47</v>
      </c>
      <c r="W103" s="7" t="s">
        <v>98</v>
      </c>
      <c r="X103" s="7" t="s">
        <v>148</v>
      </c>
      <c r="Y103" s="7" t="s">
        <v>50</v>
      </c>
      <c r="Z103" s="7" t="s">
        <v>255</v>
      </c>
      <c r="AA103" s="7">
        <v>0.05</v>
      </c>
      <c r="AB103" s="7">
        <v>1.42</v>
      </c>
      <c r="AC103" s="7">
        <v>0.012</v>
      </c>
      <c r="AD103" s="7">
        <v>0.001</v>
      </c>
      <c r="AE103" s="7">
        <v>0.208</v>
      </c>
      <c r="AF103" s="7">
        <v>0.1</v>
      </c>
      <c r="AG103" s="7">
        <v>0.04</v>
      </c>
      <c r="AH103" s="7">
        <v>0.07</v>
      </c>
      <c r="AI103" s="7">
        <v>0.04</v>
      </c>
      <c r="AJ103" s="7">
        <v>0.004</v>
      </c>
      <c r="AK103" s="7">
        <v>0.05</v>
      </c>
      <c r="AL103" s="7">
        <v>0.019</v>
      </c>
      <c r="AM103" s="7">
        <v>0.039</v>
      </c>
      <c r="AN103" s="7">
        <v>0.128</v>
      </c>
      <c r="AO103" s="7">
        <v>0.0002</v>
      </c>
      <c r="AP103" s="7">
        <v>0.0078</v>
      </c>
      <c r="AQ103" s="7">
        <v>0.0027</v>
      </c>
    </row>
    <row r="104" ht="30" customHeight="1">
      <c r="A104" s="6">
        <v>5681458</v>
      </c>
      <c r="C104" s="7" t="s">
        <v>51</v>
      </c>
      <c r="D104" s="7" t="s">
        <v>44</v>
      </c>
      <c r="E104" s="6">
        <v>0.185</v>
      </c>
      <c r="F104" s="7" t="s">
        <v>45</v>
      </c>
      <c r="G104" s="8">
        <v>55.98</v>
      </c>
      <c r="H104" s="9">
        <v>49180</v>
      </c>
      <c r="I104" s="10">
        <f t="shared" si="0"/>
        <v>24.59</v>
      </c>
      <c r="J104" s="10">
        <f t="shared" si="1"/>
        <v>491.8</v>
      </c>
      <c r="K104" s="7" t="s">
        <v>121</v>
      </c>
      <c r="V104" s="7" t="s">
        <v>47</v>
      </c>
      <c r="W104" s="7" t="s">
        <v>95</v>
      </c>
      <c r="X104" s="7" t="s">
        <v>148</v>
      </c>
      <c r="Y104" s="7" t="s">
        <v>50</v>
      </c>
      <c r="Z104" s="7" t="s">
        <v>249</v>
      </c>
      <c r="AA104" s="7">
        <v>0.07</v>
      </c>
      <c r="AB104" s="7">
        <v>1.6</v>
      </c>
      <c r="AC104" s="7">
        <v>0.012</v>
      </c>
      <c r="AD104" s="7">
        <v>0</v>
      </c>
      <c r="AE104" s="7">
        <v>0.236</v>
      </c>
      <c r="AF104" s="7">
        <v>0.11</v>
      </c>
      <c r="AG104" s="7">
        <v>0.04</v>
      </c>
      <c r="AH104" s="7">
        <v>0.55</v>
      </c>
      <c r="AI104" s="7">
        <v>0.01</v>
      </c>
      <c r="AJ104" s="7">
        <v>0.003</v>
      </c>
      <c r="AK104" s="7">
        <v>0.037</v>
      </c>
      <c r="AL104" s="7">
        <v>0.006</v>
      </c>
      <c r="AM104" s="7">
        <v>0.012</v>
      </c>
      <c r="AN104" s="7">
        <v>0.008</v>
      </c>
      <c r="AO104" s="7">
        <v>0.0003</v>
      </c>
      <c r="AP104" s="7">
        <v>0.0069</v>
      </c>
      <c r="AQ104" s="7">
        <v>0.0017</v>
      </c>
    </row>
    <row r="105" ht="30" customHeight="1">
      <c r="A105" s="6">
        <v>5667894</v>
      </c>
      <c r="C105" s="7" t="s">
        <v>51</v>
      </c>
      <c r="D105" s="7" t="s">
        <v>44</v>
      </c>
      <c r="E105" s="6">
        <v>0.185</v>
      </c>
      <c r="F105" s="7" t="s">
        <v>45</v>
      </c>
      <c r="G105" s="8">
        <v>60.93</v>
      </c>
      <c r="H105" s="9">
        <v>52160</v>
      </c>
      <c r="I105" s="10">
        <f t="shared" si="0"/>
        <v>26.08</v>
      </c>
      <c r="J105" s="10">
        <f t="shared" si="1"/>
        <v>521.6</v>
      </c>
      <c r="K105" s="7" t="s">
        <v>121</v>
      </c>
      <c r="V105" s="7" t="s">
        <v>47</v>
      </c>
      <c r="W105" s="7" t="s">
        <v>132</v>
      </c>
      <c r="X105" s="7" t="s">
        <v>148</v>
      </c>
      <c r="Y105" s="7" t="s">
        <v>50</v>
      </c>
      <c r="Z105" s="7" t="s">
        <v>256</v>
      </c>
      <c r="AA105" s="7">
        <v>0.07</v>
      </c>
      <c r="AB105" s="7">
        <v>1.57</v>
      </c>
      <c r="AC105" s="7">
        <v>0.012</v>
      </c>
      <c r="AD105" s="7">
        <v>0.001</v>
      </c>
      <c r="AE105" s="7">
        <v>0.258</v>
      </c>
      <c r="AF105" s="7">
        <v>0.12</v>
      </c>
      <c r="AG105" s="7">
        <v>0.03</v>
      </c>
      <c r="AH105" s="7">
        <v>0.59</v>
      </c>
      <c r="AI105" s="7">
        <v>0.02</v>
      </c>
      <c r="AJ105" s="7">
        <v>0.003</v>
      </c>
      <c r="AK105" s="7">
        <v>0.037</v>
      </c>
      <c r="AL105" s="7">
        <v>0.006</v>
      </c>
      <c r="AM105" s="7">
        <v>0.011</v>
      </c>
      <c r="AN105" s="7">
        <v>0.014</v>
      </c>
      <c r="AO105" s="7">
        <v>0.0001</v>
      </c>
      <c r="AP105" s="7">
        <v>0.0056</v>
      </c>
      <c r="AQ105" s="7">
        <v>0.0015</v>
      </c>
    </row>
    <row r="106" ht="30" customHeight="1">
      <c r="A106" s="6">
        <v>5606557</v>
      </c>
      <c r="C106" s="7" t="s">
        <v>43</v>
      </c>
      <c r="D106" s="7" t="s">
        <v>44</v>
      </c>
      <c r="E106" s="6">
        <v>0.192</v>
      </c>
      <c r="F106" s="7" t="s">
        <v>45</v>
      </c>
      <c r="G106" s="8">
        <v>48.73</v>
      </c>
      <c r="H106" s="9">
        <v>46420</v>
      </c>
      <c r="I106" s="10">
        <f t="shared" si="0"/>
        <v>23.21</v>
      </c>
      <c r="J106" s="10">
        <f t="shared" si="1"/>
        <v>464.2</v>
      </c>
      <c r="K106" s="7" t="s">
        <v>243</v>
      </c>
      <c r="V106" s="7" t="s">
        <v>47</v>
      </c>
      <c r="W106" s="7" t="s">
        <v>151</v>
      </c>
      <c r="X106" s="7" t="s">
        <v>257</v>
      </c>
      <c r="Y106" s="7" t="s">
        <v>50</v>
      </c>
      <c r="AA106" s="7">
        <v>0.29</v>
      </c>
      <c r="AB106" s="7">
        <v>0.5</v>
      </c>
      <c r="AC106" s="7">
        <v>0.01</v>
      </c>
      <c r="AD106" s="7">
        <v>0.001</v>
      </c>
      <c r="AE106" s="7">
        <v>0.301</v>
      </c>
      <c r="AF106" s="7">
        <v>0.14</v>
      </c>
      <c r="AG106" s="7">
        <v>0.52</v>
      </c>
      <c r="AH106" s="7">
        <v>0.51</v>
      </c>
      <c r="AI106" s="7">
        <v>0.29</v>
      </c>
      <c r="AJ106" s="7">
        <v>0.004</v>
      </c>
      <c r="AK106" s="7">
        <v>0.037</v>
      </c>
      <c r="AL106" s="7">
        <v>0.005</v>
      </c>
      <c r="AM106" s="7">
        <v>0.001</v>
      </c>
      <c r="AN106" s="7">
        <v>0.003</v>
      </c>
      <c r="AO106" s="7">
        <v>0.0006</v>
      </c>
      <c r="AP106" s="7">
        <v>0.0068</v>
      </c>
      <c r="AQ106" s="7">
        <v>0.0021</v>
      </c>
    </row>
    <row r="107" ht="30" customHeight="1">
      <c r="A107" s="6">
        <v>5606555</v>
      </c>
      <c r="C107" s="7" t="s">
        <v>51</v>
      </c>
      <c r="D107" s="7" t="s">
        <v>44</v>
      </c>
      <c r="E107" s="6">
        <v>0.192</v>
      </c>
      <c r="F107" s="7" t="s">
        <v>45</v>
      </c>
      <c r="G107" s="8">
        <v>49.5</v>
      </c>
      <c r="H107" s="9">
        <v>47220</v>
      </c>
      <c r="I107" s="10">
        <f t="shared" si="0"/>
        <v>23.61</v>
      </c>
      <c r="J107" s="10">
        <f t="shared" si="1"/>
        <v>472.2</v>
      </c>
      <c r="K107" s="7" t="s">
        <v>243</v>
      </c>
      <c r="V107" s="7" t="s">
        <v>58</v>
      </c>
      <c r="W107" s="7" t="s">
        <v>134</v>
      </c>
      <c r="X107" s="7" t="s">
        <v>258</v>
      </c>
      <c r="Y107" s="7" t="s">
        <v>96</v>
      </c>
      <c r="Z107" s="7" t="s">
        <v>259</v>
      </c>
      <c r="AA107" s="7">
        <v>0.29</v>
      </c>
      <c r="AB107" s="7">
        <v>0.5</v>
      </c>
      <c r="AC107" s="7">
        <v>0.01</v>
      </c>
      <c r="AD107" s="7">
        <v>0.001</v>
      </c>
      <c r="AE107" s="7">
        <v>0.301</v>
      </c>
      <c r="AF107" s="7">
        <v>0.14</v>
      </c>
      <c r="AG107" s="7">
        <v>0.52</v>
      </c>
      <c r="AH107" s="7">
        <v>0.51</v>
      </c>
      <c r="AI107" s="7">
        <v>0.29</v>
      </c>
      <c r="AJ107" s="7">
        <v>0.004</v>
      </c>
      <c r="AK107" s="7">
        <v>0.037</v>
      </c>
      <c r="AL107" s="7">
        <v>0.005</v>
      </c>
      <c r="AM107" s="7">
        <v>0.001</v>
      </c>
      <c r="AN107" s="7">
        <v>0.003</v>
      </c>
      <c r="AO107" s="7">
        <v>0.0006</v>
      </c>
      <c r="AP107" s="7">
        <v>0.0068</v>
      </c>
      <c r="AQ107" s="7">
        <v>0.0021</v>
      </c>
    </row>
    <row r="108" ht="30" customHeight="1">
      <c r="A108" s="6">
        <v>5606554</v>
      </c>
      <c r="C108" s="7" t="s">
        <v>51</v>
      </c>
      <c r="D108" s="7" t="s">
        <v>44</v>
      </c>
      <c r="E108" s="6">
        <v>0.192</v>
      </c>
      <c r="F108" s="7" t="s">
        <v>45</v>
      </c>
      <c r="G108" s="8">
        <v>51.91</v>
      </c>
      <c r="H108" s="9">
        <v>49580</v>
      </c>
      <c r="I108" s="10">
        <f t="shared" si="0"/>
        <v>24.79</v>
      </c>
      <c r="J108" s="10">
        <f t="shared" si="1"/>
        <v>495.8</v>
      </c>
      <c r="K108" s="7" t="s">
        <v>243</v>
      </c>
      <c r="V108" s="7" t="s">
        <v>47</v>
      </c>
      <c r="W108" s="7" t="s">
        <v>260</v>
      </c>
      <c r="X108" s="7" t="s">
        <v>261</v>
      </c>
      <c r="Y108" s="7" t="s">
        <v>110</v>
      </c>
      <c r="Z108" s="7" t="s">
        <v>262</v>
      </c>
      <c r="AA108" s="7">
        <v>0.29</v>
      </c>
      <c r="AB108" s="7">
        <v>0.5</v>
      </c>
      <c r="AC108" s="7">
        <v>0.01</v>
      </c>
      <c r="AD108" s="7">
        <v>0.001</v>
      </c>
      <c r="AE108" s="7">
        <v>0.301</v>
      </c>
      <c r="AF108" s="7">
        <v>0.14</v>
      </c>
      <c r="AG108" s="7">
        <v>0.52</v>
      </c>
      <c r="AH108" s="7">
        <v>0.51</v>
      </c>
      <c r="AI108" s="7">
        <v>0.29</v>
      </c>
      <c r="AJ108" s="7">
        <v>0.004</v>
      </c>
      <c r="AK108" s="7">
        <v>0.037</v>
      </c>
      <c r="AL108" s="7">
        <v>0.005</v>
      </c>
      <c r="AM108" s="7">
        <v>0.001</v>
      </c>
      <c r="AN108" s="7">
        <v>0.003</v>
      </c>
      <c r="AO108" s="7">
        <v>0.0006</v>
      </c>
      <c r="AP108" s="7">
        <v>0.0068</v>
      </c>
      <c r="AQ108" s="7">
        <v>0.0021</v>
      </c>
    </row>
    <row r="109" ht="30" customHeight="1">
      <c r="A109" s="6">
        <v>5606552</v>
      </c>
      <c r="C109" s="7" t="s">
        <v>51</v>
      </c>
      <c r="D109" s="7" t="s">
        <v>44</v>
      </c>
      <c r="E109" s="6">
        <v>0.192</v>
      </c>
      <c r="F109" s="7" t="s">
        <v>45</v>
      </c>
      <c r="G109" s="8">
        <v>54.41</v>
      </c>
      <c r="H109" s="9">
        <v>51960</v>
      </c>
      <c r="I109" s="10">
        <f t="shared" si="0"/>
        <v>25.98</v>
      </c>
      <c r="J109" s="10">
        <f t="shared" si="1"/>
        <v>519.6</v>
      </c>
      <c r="K109" s="7" t="s">
        <v>243</v>
      </c>
      <c r="V109" s="7" t="s">
        <v>47</v>
      </c>
      <c r="W109" s="7" t="s">
        <v>260</v>
      </c>
      <c r="X109" s="7" t="s">
        <v>261</v>
      </c>
      <c r="Y109" s="7" t="s">
        <v>110</v>
      </c>
      <c r="Z109" s="7" t="s">
        <v>263</v>
      </c>
      <c r="AA109" s="7">
        <v>0.29</v>
      </c>
      <c r="AB109" s="7">
        <v>0.5</v>
      </c>
      <c r="AC109" s="7">
        <v>0.01</v>
      </c>
      <c r="AD109" s="7">
        <v>0.001</v>
      </c>
      <c r="AE109" s="7">
        <v>0.301</v>
      </c>
      <c r="AF109" s="7">
        <v>0.14</v>
      </c>
      <c r="AG109" s="7">
        <v>0.52</v>
      </c>
      <c r="AH109" s="7">
        <v>0.51</v>
      </c>
      <c r="AI109" s="7">
        <v>0.29</v>
      </c>
      <c r="AJ109" s="7">
        <v>0.004</v>
      </c>
      <c r="AK109" s="7">
        <v>0.037</v>
      </c>
      <c r="AL109" s="7">
        <v>0.005</v>
      </c>
      <c r="AM109" s="7">
        <v>0.001</v>
      </c>
      <c r="AN109" s="7">
        <v>0.003</v>
      </c>
      <c r="AO109" s="7">
        <v>0.0006</v>
      </c>
      <c r="AP109" s="7">
        <v>0.0068</v>
      </c>
      <c r="AQ109" s="7">
        <v>0.0021</v>
      </c>
    </row>
    <row r="110" ht="30" customHeight="1">
      <c r="A110" s="6">
        <v>5606550</v>
      </c>
      <c r="C110" s="7" t="s">
        <v>51</v>
      </c>
      <c r="D110" s="7" t="s">
        <v>44</v>
      </c>
      <c r="E110" s="6">
        <v>0.192</v>
      </c>
      <c r="F110" s="7" t="s">
        <v>45</v>
      </c>
      <c r="G110" s="8">
        <v>58.17</v>
      </c>
      <c r="H110" s="9">
        <v>55680</v>
      </c>
      <c r="I110" s="10">
        <f t="shared" si="0"/>
        <v>27.84</v>
      </c>
      <c r="J110" s="10">
        <f t="shared" si="1"/>
        <v>556.8</v>
      </c>
      <c r="K110" s="7" t="s">
        <v>243</v>
      </c>
      <c r="V110" s="7" t="s">
        <v>47</v>
      </c>
      <c r="W110" s="7" t="s">
        <v>260</v>
      </c>
      <c r="X110" s="7" t="s">
        <v>261</v>
      </c>
      <c r="Y110" s="7" t="s">
        <v>110</v>
      </c>
      <c r="Z110" s="7" t="s">
        <v>264</v>
      </c>
      <c r="AA110" s="7">
        <v>0.29</v>
      </c>
      <c r="AB110" s="7">
        <v>0.5</v>
      </c>
      <c r="AC110" s="7">
        <v>0.01</v>
      </c>
      <c r="AD110" s="7">
        <v>0.001</v>
      </c>
      <c r="AE110" s="7">
        <v>0.301</v>
      </c>
      <c r="AF110" s="7">
        <v>0.14</v>
      </c>
      <c r="AG110" s="7">
        <v>0.52</v>
      </c>
      <c r="AH110" s="7">
        <v>0.51</v>
      </c>
      <c r="AI110" s="7">
        <v>0.29</v>
      </c>
      <c r="AJ110" s="7">
        <v>0.004</v>
      </c>
      <c r="AK110" s="7">
        <v>0.037</v>
      </c>
      <c r="AL110" s="7">
        <v>0.005</v>
      </c>
      <c r="AM110" s="7">
        <v>0.001</v>
      </c>
      <c r="AN110" s="7">
        <v>0.003</v>
      </c>
      <c r="AO110" s="7">
        <v>0.0006</v>
      </c>
      <c r="AP110" s="7">
        <v>0.0068</v>
      </c>
      <c r="AQ110" s="7">
        <v>0.0021</v>
      </c>
    </row>
    <row r="111" ht="30" customHeight="1">
      <c r="A111" s="6">
        <v>5630982</v>
      </c>
      <c r="C111" s="7" t="s">
        <v>51</v>
      </c>
      <c r="D111" s="7" t="s">
        <v>44</v>
      </c>
      <c r="E111" s="6">
        <v>0.196</v>
      </c>
      <c r="F111" s="7" t="s">
        <v>63</v>
      </c>
      <c r="G111" s="8">
        <v>51</v>
      </c>
      <c r="H111" s="9">
        <v>50780</v>
      </c>
      <c r="I111" s="10">
        <f t="shared" si="0"/>
        <v>25.39</v>
      </c>
      <c r="J111" s="10">
        <f t="shared" si="1"/>
        <v>507.8</v>
      </c>
      <c r="K111" s="7" t="s">
        <v>68</v>
      </c>
      <c r="V111" s="7" t="s">
        <v>47</v>
      </c>
      <c r="W111" s="7" t="s">
        <v>117</v>
      </c>
      <c r="X111" s="7" t="s">
        <v>265</v>
      </c>
      <c r="AA111" s="7">
        <v>0.02</v>
      </c>
      <c r="AB111" s="7">
        <v>0.17</v>
      </c>
      <c r="AC111" s="7">
        <v>0.008</v>
      </c>
      <c r="AD111" s="7">
        <v>0.002</v>
      </c>
      <c r="AE111" s="7">
        <v>0.023</v>
      </c>
      <c r="AF111" s="7">
        <v>0.08</v>
      </c>
      <c r="AG111" s="7">
        <v>0.02</v>
      </c>
      <c r="AH111" s="7">
        <v>0.03</v>
      </c>
      <c r="AI111" s="7">
        <v>0.01</v>
      </c>
      <c r="AJ111" s="7">
        <v>0.002</v>
      </c>
      <c r="AK111" s="7">
        <v>0.041</v>
      </c>
      <c r="AL111" s="7">
        <v>0.001</v>
      </c>
      <c r="AM111" s="7">
        <v>0.001</v>
      </c>
      <c r="AN111" s="7">
        <v>0.001</v>
      </c>
      <c r="AO111" s="7">
        <v>0.0004</v>
      </c>
      <c r="AP111" s="7">
        <v>0.0049</v>
      </c>
      <c r="AQ111" s="7">
        <v>0.0013</v>
      </c>
    </row>
    <row r="112" ht="15" customHeight="1">
      <c r="A112" s="6">
        <v>5638761</v>
      </c>
      <c r="C112" s="7" t="s">
        <v>51</v>
      </c>
      <c r="D112" s="7" t="s">
        <v>44</v>
      </c>
      <c r="E112" s="6">
        <v>0.198</v>
      </c>
      <c r="F112" s="7" t="s">
        <v>63</v>
      </c>
      <c r="G112" s="8">
        <v>64.26</v>
      </c>
      <c r="H112" s="9">
        <v>51280</v>
      </c>
      <c r="I112" s="10">
        <f t="shared" si="0"/>
        <v>25.64</v>
      </c>
      <c r="J112" s="10">
        <f t="shared" si="1"/>
        <v>512.8</v>
      </c>
      <c r="K112" s="7" t="s">
        <v>90</v>
      </c>
      <c r="V112" s="7" t="s">
        <v>47</v>
      </c>
      <c r="W112" s="7" t="s">
        <v>240</v>
      </c>
      <c r="X112" s="7" t="s">
        <v>266</v>
      </c>
      <c r="AA112" s="7">
        <v>0.05</v>
      </c>
      <c r="AB112" s="7">
        <v>0.18</v>
      </c>
      <c r="AC112" s="7">
        <v>0.012</v>
      </c>
      <c r="AD112" s="7">
        <v>0.002</v>
      </c>
      <c r="AE112" s="7">
        <v>0.021</v>
      </c>
      <c r="AF112" s="7">
        <v>0.1</v>
      </c>
      <c r="AG112" s="7">
        <v>0.03</v>
      </c>
      <c r="AH112" s="7">
        <v>0.05</v>
      </c>
      <c r="AI112" s="7">
        <v>0.01</v>
      </c>
      <c r="AJ112" s="7">
        <v>0.003</v>
      </c>
      <c r="AK112" s="7">
        <v>0.024</v>
      </c>
      <c r="AL112" s="7">
        <v>0.002</v>
      </c>
      <c r="AM112" s="7">
        <v>0.001</v>
      </c>
      <c r="AN112" s="7">
        <v>0.001</v>
      </c>
      <c r="AO112" s="7">
        <v>0.0001</v>
      </c>
      <c r="AP112" s="7">
        <v>0.0051</v>
      </c>
      <c r="AQ112" s="7">
        <v>0.0024</v>
      </c>
    </row>
    <row r="113" ht="30" customHeight="1">
      <c r="A113" s="6">
        <v>5688922</v>
      </c>
      <c r="C113" s="7" t="s">
        <v>51</v>
      </c>
      <c r="D113" s="7" t="s">
        <v>44</v>
      </c>
      <c r="E113" s="6">
        <v>0.213</v>
      </c>
      <c r="F113" s="7" t="s">
        <v>45</v>
      </c>
      <c r="G113" s="8">
        <v>50.7</v>
      </c>
      <c r="H113" s="9">
        <v>66460</v>
      </c>
      <c r="I113" s="10">
        <f t="shared" si="0"/>
        <v>33.23</v>
      </c>
      <c r="J113" s="10">
        <f t="shared" si="1"/>
        <v>664.6</v>
      </c>
      <c r="K113" s="7" t="s">
        <v>77</v>
      </c>
      <c r="V113" s="7" t="s">
        <v>58</v>
      </c>
      <c r="W113" s="7" t="s">
        <v>109</v>
      </c>
      <c r="X113" s="7" t="s">
        <v>110</v>
      </c>
      <c r="Y113" s="7" t="s">
        <v>50</v>
      </c>
      <c r="Z113" s="7" t="s">
        <v>267</v>
      </c>
      <c r="AA113" s="7">
        <v>0.32</v>
      </c>
      <c r="AB113" s="7">
        <v>0.73</v>
      </c>
      <c r="AC113" s="7">
        <v>0.01</v>
      </c>
      <c r="AD113" s="7">
        <v>0.002</v>
      </c>
      <c r="AE113" s="7">
        <v>0.023</v>
      </c>
      <c r="AF113" s="7">
        <v>0.12</v>
      </c>
      <c r="AG113" s="7">
        <v>0.03</v>
      </c>
      <c r="AH113" s="7">
        <v>0.07</v>
      </c>
      <c r="AI113" s="7">
        <v>0.01</v>
      </c>
      <c r="AJ113" s="7">
        <v>0.002</v>
      </c>
      <c r="AK113" s="7">
        <v>0.032</v>
      </c>
      <c r="AL113" s="7">
        <v>0.003</v>
      </c>
      <c r="AM113" s="7">
        <v>0.001</v>
      </c>
      <c r="AN113" s="7">
        <v>0</v>
      </c>
      <c r="AO113" s="7">
        <v>0.0001</v>
      </c>
      <c r="AP113" s="7">
        <v>0.0057</v>
      </c>
      <c r="AQ113" s="7">
        <v>0.0037</v>
      </c>
    </row>
    <row r="114" ht="75" customHeight="1">
      <c r="A114" s="6">
        <v>5637117</v>
      </c>
      <c r="C114" s="7" t="s">
        <v>51</v>
      </c>
      <c r="D114" s="7" t="s">
        <v>44</v>
      </c>
      <c r="E114" s="6">
        <v>0.213</v>
      </c>
      <c r="F114" s="7" t="s">
        <v>45</v>
      </c>
      <c r="G114" s="8">
        <v>57.25</v>
      </c>
      <c r="H114" s="9">
        <v>68920</v>
      </c>
      <c r="I114" s="10">
        <f t="shared" si="0"/>
        <v>34.46</v>
      </c>
      <c r="J114" s="10">
        <f t="shared" si="1"/>
        <v>689.2</v>
      </c>
      <c r="K114" s="7" t="s">
        <v>138</v>
      </c>
      <c r="V114" s="7" t="s">
        <v>47</v>
      </c>
      <c r="W114" s="7" t="s">
        <v>82</v>
      </c>
      <c r="X114" s="7" t="s">
        <v>83</v>
      </c>
      <c r="Y114" s="7" t="s">
        <v>65</v>
      </c>
      <c r="Z114" s="7" t="s">
        <v>268</v>
      </c>
      <c r="AA114" s="7">
        <v>0.05</v>
      </c>
      <c r="AB114" s="7">
        <v>1.57</v>
      </c>
      <c r="AC114" s="7">
        <v>0.013</v>
      </c>
      <c r="AD114" s="7">
        <v>0</v>
      </c>
      <c r="AE114" s="7">
        <v>0.232</v>
      </c>
      <c r="AF114" s="7">
        <v>0.11</v>
      </c>
      <c r="AG114" s="7">
        <v>0.1</v>
      </c>
      <c r="AH114" s="7">
        <v>0.13</v>
      </c>
      <c r="AI114" s="7">
        <v>0.1</v>
      </c>
      <c r="AJ114" s="7">
        <v>0.003</v>
      </c>
      <c r="AK114" s="7">
        <v>0.048</v>
      </c>
      <c r="AL114" s="7">
        <v>0.009</v>
      </c>
      <c r="AM114" s="7">
        <v>0.048</v>
      </c>
      <c r="AN114" s="7">
        <v>0.093</v>
      </c>
      <c r="AO114" s="7">
        <v>0.0002</v>
      </c>
      <c r="AP114" s="7">
        <v>0.0066</v>
      </c>
      <c r="AQ114" s="7">
        <v>0.0025</v>
      </c>
    </row>
    <row r="115" ht="30" customHeight="1">
      <c r="A115" s="6">
        <v>5681457</v>
      </c>
      <c r="C115" s="7" t="s">
        <v>51</v>
      </c>
      <c r="D115" s="7" t="s">
        <v>44</v>
      </c>
      <c r="E115" s="6">
        <v>0.224</v>
      </c>
      <c r="F115" s="7" t="s">
        <v>45</v>
      </c>
      <c r="G115" s="8">
        <v>55.98</v>
      </c>
      <c r="H115" s="9">
        <v>73360</v>
      </c>
      <c r="I115" s="10">
        <f t="shared" si="0"/>
        <v>36.68</v>
      </c>
      <c r="J115" s="10">
        <f t="shared" si="1"/>
        <v>733.6</v>
      </c>
      <c r="K115" s="7" t="s">
        <v>269</v>
      </c>
      <c r="V115" s="7" t="s">
        <v>47</v>
      </c>
      <c r="W115" s="7" t="s">
        <v>270</v>
      </c>
      <c r="X115" s="7" t="s">
        <v>129</v>
      </c>
      <c r="Y115" s="7" t="s">
        <v>95</v>
      </c>
      <c r="Z115" s="7" t="s">
        <v>271</v>
      </c>
      <c r="AA115" s="7">
        <v>0.06</v>
      </c>
      <c r="AB115" s="7">
        <v>0.96</v>
      </c>
      <c r="AC115" s="7">
        <v>0.013</v>
      </c>
      <c r="AD115" s="7">
        <v>0.002</v>
      </c>
      <c r="AE115" s="7">
        <v>0.172</v>
      </c>
      <c r="AF115" s="7">
        <v>0.11</v>
      </c>
      <c r="AG115" s="7">
        <v>0.03</v>
      </c>
      <c r="AH115" s="7">
        <v>0.06</v>
      </c>
      <c r="AI115" s="7">
        <v>0.01</v>
      </c>
      <c r="AJ115" s="7">
        <v>0.003</v>
      </c>
      <c r="AK115" s="7">
        <v>0.031</v>
      </c>
      <c r="AL115" s="7">
        <v>0.004</v>
      </c>
      <c r="AM115" s="7">
        <v>0.011</v>
      </c>
      <c r="AN115" s="7">
        <v>0.01</v>
      </c>
      <c r="AO115" s="7">
        <v>0.0001</v>
      </c>
      <c r="AP115" s="7">
        <v>0.0056</v>
      </c>
      <c r="AQ115" s="7">
        <v>0.0026</v>
      </c>
    </row>
    <row r="116" ht="30" customHeight="1">
      <c r="A116" s="6">
        <v>5681434</v>
      </c>
      <c r="C116" s="7" t="s">
        <v>51</v>
      </c>
      <c r="D116" s="7" t="s">
        <v>44</v>
      </c>
      <c r="E116" s="6">
        <v>0.224</v>
      </c>
      <c r="F116" s="7" t="s">
        <v>45</v>
      </c>
      <c r="G116" s="8">
        <v>56.03</v>
      </c>
      <c r="H116" s="9">
        <v>73420</v>
      </c>
      <c r="I116" s="10">
        <f t="shared" si="0"/>
        <v>36.71</v>
      </c>
      <c r="J116" s="10">
        <f t="shared" si="1"/>
        <v>734.2</v>
      </c>
      <c r="K116" s="7" t="s">
        <v>269</v>
      </c>
      <c r="V116" s="7" t="s">
        <v>47</v>
      </c>
      <c r="W116" s="7" t="s">
        <v>95</v>
      </c>
      <c r="X116" s="7" t="s">
        <v>136</v>
      </c>
      <c r="Y116" s="7" t="s">
        <v>110</v>
      </c>
      <c r="Z116" s="7" t="s">
        <v>271</v>
      </c>
      <c r="AA116" s="7">
        <v>0.05</v>
      </c>
      <c r="AB116" s="7">
        <v>0.98</v>
      </c>
      <c r="AC116" s="7">
        <v>0.011</v>
      </c>
      <c r="AD116" s="7">
        <v>0.001</v>
      </c>
      <c r="AE116" s="7">
        <v>0.175</v>
      </c>
      <c r="AF116" s="7">
        <v>0.12</v>
      </c>
      <c r="AG116" s="7">
        <v>0.04</v>
      </c>
      <c r="AH116" s="7">
        <v>0.06</v>
      </c>
      <c r="AI116" s="7">
        <v>0.01</v>
      </c>
      <c r="AJ116" s="7">
        <v>0.003</v>
      </c>
      <c r="AK116" s="7">
        <v>0.028</v>
      </c>
      <c r="AL116" s="7">
        <v>0.004</v>
      </c>
      <c r="AM116" s="7">
        <v>0.013</v>
      </c>
      <c r="AN116" s="7">
        <v>0.011</v>
      </c>
      <c r="AO116" s="7">
        <v>0.0001</v>
      </c>
      <c r="AP116" s="7">
        <v>0.0063</v>
      </c>
      <c r="AQ116" s="7">
        <v>0.0015</v>
      </c>
    </row>
    <row r="117" ht="30" customHeight="1">
      <c r="A117" s="6">
        <v>5708470</v>
      </c>
      <c r="C117" s="7" t="s">
        <v>51</v>
      </c>
      <c r="D117" s="7" t="s">
        <v>44</v>
      </c>
      <c r="E117" s="6">
        <v>0.224</v>
      </c>
      <c r="F117" s="7" t="s">
        <v>63</v>
      </c>
      <c r="G117" s="8">
        <v>62.21</v>
      </c>
      <c r="H117" s="9">
        <v>80540</v>
      </c>
      <c r="I117" s="10">
        <f t="shared" si="0"/>
        <v>40.27</v>
      </c>
      <c r="J117" s="10">
        <f t="shared" si="1"/>
        <v>805.4</v>
      </c>
      <c r="K117" s="7" t="s">
        <v>272</v>
      </c>
      <c r="V117" s="7" t="s">
        <v>47</v>
      </c>
      <c r="W117" s="7" t="s">
        <v>273</v>
      </c>
      <c r="X117" s="7" t="s">
        <v>239</v>
      </c>
      <c r="Y117" s="7" t="s">
        <v>50</v>
      </c>
      <c r="Z117" s="7" t="s">
        <v>274</v>
      </c>
      <c r="AA117" s="7">
        <v>0.2</v>
      </c>
      <c r="AB117" s="7">
        <v>0.87</v>
      </c>
      <c r="AC117" s="7">
        <v>0.009</v>
      </c>
      <c r="AD117" s="7">
        <v>0.001</v>
      </c>
      <c r="AE117" s="7">
        <v>0.021</v>
      </c>
      <c r="AF117" s="7">
        <v>0.12</v>
      </c>
      <c r="AG117" s="7">
        <v>0.03</v>
      </c>
      <c r="AH117" s="7">
        <v>0.06</v>
      </c>
      <c r="AI117" s="7">
        <v>0.01</v>
      </c>
      <c r="AJ117" s="7">
        <v>0.003</v>
      </c>
      <c r="AK117" s="7">
        <v>0.022</v>
      </c>
      <c r="AL117" s="7">
        <v>0.003</v>
      </c>
      <c r="AM117" s="7">
        <v>0.001</v>
      </c>
      <c r="AN117" s="7">
        <v>0</v>
      </c>
      <c r="AO117" s="7">
        <v>0</v>
      </c>
      <c r="AP117" s="7">
        <v>0.0069</v>
      </c>
      <c r="AQ117" s="7">
        <v>0.0012</v>
      </c>
    </row>
    <row r="118" ht="30" customHeight="1">
      <c r="A118" s="6">
        <v>5682068</v>
      </c>
      <c r="C118" s="7" t="s">
        <v>51</v>
      </c>
      <c r="D118" s="7" t="s">
        <v>44</v>
      </c>
      <c r="E118" s="6">
        <v>0.224</v>
      </c>
      <c r="F118" s="7" t="s">
        <v>63</v>
      </c>
      <c r="G118" s="8">
        <v>64.46</v>
      </c>
      <c r="H118" s="9">
        <v>83440</v>
      </c>
      <c r="I118" s="10">
        <f t="shared" si="0"/>
        <v>41.72</v>
      </c>
      <c r="J118" s="10">
        <f t="shared" si="1"/>
        <v>834.4</v>
      </c>
      <c r="K118" s="7" t="s">
        <v>275</v>
      </c>
      <c r="V118" s="7" t="s">
        <v>47</v>
      </c>
      <c r="W118" s="7" t="s">
        <v>270</v>
      </c>
      <c r="X118" s="7" t="s">
        <v>136</v>
      </c>
      <c r="Y118" s="7" t="s">
        <v>119</v>
      </c>
      <c r="Z118" s="7" t="s">
        <v>276</v>
      </c>
      <c r="AA118" s="7">
        <v>0.05</v>
      </c>
      <c r="AB118" s="7">
        <v>0.94</v>
      </c>
      <c r="AC118" s="7">
        <v>0.008</v>
      </c>
      <c r="AD118" s="7">
        <v>0.002</v>
      </c>
      <c r="AE118" s="7">
        <v>0.187</v>
      </c>
      <c r="AF118" s="7">
        <v>0.11</v>
      </c>
      <c r="AG118" s="7">
        <v>0.03</v>
      </c>
      <c r="AH118" s="7">
        <v>0.06</v>
      </c>
      <c r="AI118" s="7">
        <v>0.01</v>
      </c>
      <c r="AJ118" s="7">
        <v>0.002</v>
      </c>
      <c r="AK118" s="7">
        <v>0.022</v>
      </c>
      <c r="AL118" s="7">
        <v>0.003</v>
      </c>
      <c r="AM118" s="7">
        <v>0.025</v>
      </c>
      <c r="AN118" s="7">
        <v>0.008</v>
      </c>
      <c r="AO118" s="7">
        <v>0</v>
      </c>
      <c r="AP118" s="7">
        <v>0.0055</v>
      </c>
      <c r="AQ118" s="7">
        <v>0.0019</v>
      </c>
    </row>
    <row r="119" ht="30" customHeight="1">
      <c r="A119" s="6">
        <v>5617227</v>
      </c>
      <c r="C119" s="7" t="s">
        <v>51</v>
      </c>
      <c r="D119" s="7" t="s">
        <v>44</v>
      </c>
      <c r="E119" s="6">
        <v>0.225</v>
      </c>
      <c r="F119" s="7" t="s">
        <v>45</v>
      </c>
      <c r="G119" s="8">
        <v>59.32</v>
      </c>
      <c r="H119" s="9">
        <v>55640</v>
      </c>
      <c r="I119" s="10">
        <f t="shared" si="0"/>
        <v>27.82</v>
      </c>
      <c r="J119" s="10">
        <f t="shared" si="1"/>
        <v>556.4</v>
      </c>
      <c r="K119" s="7" t="s">
        <v>277</v>
      </c>
      <c r="V119" s="7" t="s">
        <v>47</v>
      </c>
      <c r="W119" s="7" t="s">
        <v>98</v>
      </c>
      <c r="X119" s="7" t="s">
        <v>239</v>
      </c>
      <c r="Z119" s="7" t="s">
        <v>278</v>
      </c>
      <c r="AA119" s="7">
        <v>0.06</v>
      </c>
      <c r="AB119" s="7">
        <v>0.55</v>
      </c>
      <c r="AC119" s="7">
        <v>0.01</v>
      </c>
      <c r="AD119" s="7">
        <v>0.002</v>
      </c>
      <c r="AE119" s="7">
        <v>0.17</v>
      </c>
      <c r="AF119" s="7">
        <v>0.11</v>
      </c>
      <c r="AG119" s="7">
        <v>0.03</v>
      </c>
      <c r="AH119" s="7">
        <v>0.07</v>
      </c>
      <c r="AI119" s="7">
        <v>0.01</v>
      </c>
      <c r="AJ119" s="7">
        <v>0.003</v>
      </c>
      <c r="AK119" s="7">
        <v>0.033</v>
      </c>
      <c r="AL119" s="7">
        <v>0.003</v>
      </c>
      <c r="AM119" s="7">
        <v>0.004</v>
      </c>
      <c r="AN119" s="7">
        <v>0.004</v>
      </c>
      <c r="AO119" s="7">
        <v>0.0001</v>
      </c>
      <c r="AP119" s="7">
        <v>0.0057</v>
      </c>
      <c r="AQ119" s="7">
        <v>0.0021</v>
      </c>
    </row>
    <row r="120" ht="30" customHeight="1">
      <c r="A120" s="6">
        <v>5683337</v>
      </c>
      <c r="C120" s="7" t="s">
        <v>51</v>
      </c>
      <c r="D120" s="7" t="s">
        <v>44</v>
      </c>
      <c r="E120" s="6">
        <v>0.225</v>
      </c>
      <c r="F120" s="7" t="s">
        <v>45</v>
      </c>
      <c r="G120" s="8">
        <v>59.97</v>
      </c>
      <c r="H120" s="9">
        <v>60280</v>
      </c>
      <c r="I120" s="10">
        <f t="shared" si="0"/>
        <v>30.14</v>
      </c>
      <c r="J120" s="10">
        <f t="shared" si="1"/>
        <v>602.8</v>
      </c>
      <c r="K120" s="7" t="s">
        <v>279</v>
      </c>
      <c r="V120" s="7" t="s">
        <v>47</v>
      </c>
      <c r="W120" s="7" t="s">
        <v>95</v>
      </c>
      <c r="X120" s="7" t="s">
        <v>148</v>
      </c>
      <c r="Y120" s="7" t="s">
        <v>50</v>
      </c>
      <c r="Z120" s="7" t="s">
        <v>280</v>
      </c>
      <c r="AA120" s="7">
        <v>0.05</v>
      </c>
      <c r="AB120" s="7">
        <v>0.75</v>
      </c>
      <c r="AC120" s="7">
        <v>0.01</v>
      </c>
      <c r="AD120" s="7">
        <v>0.001</v>
      </c>
      <c r="AE120" s="7">
        <v>0.204</v>
      </c>
      <c r="AF120" s="7">
        <v>0.12</v>
      </c>
      <c r="AG120" s="7">
        <v>0.03</v>
      </c>
      <c r="AH120" s="7">
        <v>0.05</v>
      </c>
      <c r="AI120" s="7">
        <v>0.01</v>
      </c>
      <c r="AJ120" s="7">
        <v>0.004</v>
      </c>
      <c r="AK120" s="7">
        <v>0.056</v>
      </c>
      <c r="AL120" s="7">
        <v>0.007</v>
      </c>
      <c r="AM120" s="7">
        <v>0.011</v>
      </c>
      <c r="AN120" s="7">
        <v>0.081</v>
      </c>
      <c r="AO120" s="7">
        <v>0.0002</v>
      </c>
      <c r="AP120" s="7">
        <v>0.0065</v>
      </c>
      <c r="AQ120" s="7">
        <v>0.0018</v>
      </c>
    </row>
    <row r="121" ht="30" customHeight="1">
      <c r="A121" s="6">
        <v>5670929</v>
      </c>
      <c r="C121" s="7" t="s">
        <v>51</v>
      </c>
      <c r="D121" s="7" t="s">
        <v>44</v>
      </c>
      <c r="E121" s="6">
        <v>0.225</v>
      </c>
      <c r="F121" s="7" t="s">
        <v>45</v>
      </c>
      <c r="G121" s="8">
        <v>61.11</v>
      </c>
      <c r="H121" s="9">
        <v>79933</v>
      </c>
      <c r="I121" s="10">
        <f t="shared" si="0"/>
        <v>39.9665</v>
      </c>
      <c r="J121" s="10">
        <f t="shared" si="1"/>
        <v>799.33</v>
      </c>
      <c r="K121" s="7" t="s">
        <v>153</v>
      </c>
      <c r="V121" s="7" t="s">
        <v>47</v>
      </c>
      <c r="W121" s="7" t="s">
        <v>198</v>
      </c>
      <c r="X121" s="7" t="s">
        <v>281</v>
      </c>
      <c r="Y121" s="7" t="s">
        <v>115</v>
      </c>
      <c r="Z121" s="7" t="s">
        <v>282</v>
      </c>
      <c r="AA121" s="7">
        <v>0.05</v>
      </c>
      <c r="AB121" s="7">
        <v>0.39</v>
      </c>
      <c r="AC121" s="7">
        <v>0.013</v>
      </c>
      <c r="AD121" s="7">
        <v>0.001</v>
      </c>
      <c r="AE121" s="7">
        <v>0.234</v>
      </c>
      <c r="AF121" s="7">
        <v>0.12</v>
      </c>
      <c r="AG121" s="7">
        <v>0.04</v>
      </c>
      <c r="AH121" s="7">
        <v>0.07</v>
      </c>
      <c r="AI121" s="7">
        <v>0.01</v>
      </c>
      <c r="AJ121" s="7">
        <v>0.004</v>
      </c>
      <c r="AK121" s="7">
        <v>0.031</v>
      </c>
      <c r="AL121" s="7">
        <v>0.001</v>
      </c>
      <c r="AM121" s="7">
        <v>0.009</v>
      </c>
      <c r="AN121" s="7">
        <v>0.001</v>
      </c>
      <c r="AO121" s="7">
        <v>0.0001</v>
      </c>
      <c r="AP121" s="7">
        <v>0.0048</v>
      </c>
      <c r="AQ121" s="7">
        <v>0.0018</v>
      </c>
    </row>
    <row r="122" ht="30" customHeight="1">
      <c r="A122" s="6">
        <v>5708390</v>
      </c>
      <c r="C122" s="7" t="s">
        <v>51</v>
      </c>
      <c r="D122" s="7" t="s">
        <v>44</v>
      </c>
      <c r="E122" s="6">
        <v>0.225</v>
      </c>
      <c r="F122" s="7" t="s">
        <v>45</v>
      </c>
      <c r="G122" s="8">
        <v>61.9</v>
      </c>
      <c r="H122" s="9">
        <v>50200</v>
      </c>
      <c r="I122" s="10">
        <f t="shared" si="0"/>
        <v>25.1</v>
      </c>
      <c r="J122" s="10">
        <f t="shared" si="1"/>
        <v>502</v>
      </c>
      <c r="K122" s="7" t="s">
        <v>153</v>
      </c>
      <c r="V122" s="7" t="s">
        <v>58</v>
      </c>
      <c r="W122" s="7" t="s">
        <v>109</v>
      </c>
      <c r="X122" s="7" t="s">
        <v>110</v>
      </c>
      <c r="Y122" s="7" t="s">
        <v>50</v>
      </c>
      <c r="Z122" s="7" t="s">
        <v>283</v>
      </c>
      <c r="AA122" s="7">
        <v>0.06</v>
      </c>
      <c r="AB122" s="7">
        <v>0.41</v>
      </c>
      <c r="AC122" s="7">
        <v>0.01</v>
      </c>
      <c r="AD122" s="7">
        <v>0</v>
      </c>
      <c r="AE122" s="7">
        <v>0.225</v>
      </c>
      <c r="AF122" s="7">
        <v>0.12</v>
      </c>
      <c r="AG122" s="7">
        <v>0.04</v>
      </c>
      <c r="AH122" s="7">
        <v>0.06</v>
      </c>
      <c r="AI122" s="7">
        <v>0.01</v>
      </c>
      <c r="AJ122" s="7">
        <v>0.003</v>
      </c>
      <c r="AK122" s="7">
        <v>0.028</v>
      </c>
      <c r="AL122" s="7">
        <v>0.002</v>
      </c>
      <c r="AM122" s="7">
        <v>0.012</v>
      </c>
      <c r="AN122" s="7">
        <v>0.001</v>
      </c>
      <c r="AO122" s="7">
        <v>0</v>
      </c>
      <c r="AP122" s="7">
        <v>0.0059</v>
      </c>
      <c r="AQ122" s="7">
        <v>0.0038</v>
      </c>
    </row>
    <row r="123" ht="30" customHeight="1">
      <c r="A123" s="6">
        <v>5647416</v>
      </c>
      <c r="C123" s="7" t="s">
        <v>51</v>
      </c>
      <c r="D123" s="7" t="s">
        <v>44</v>
      </c>
      <c r="E123" s="6">
        <v>0.225</v>
      </c>
      <c r="F123" s="7" t="s">
        <v>45</v>
      </c>
      <c r="G123" s="8">
        <v>64.87</v>
      </c>
      <c r="H123" s="9">
        <v>84580</v>
      </c>
      <c r="I123" s="10">
        <f t="shared" si="0"/>
        <v>42.29</v>
      </c>
      <c r="J123" s="10">
        <f t="shared" si="1"/>
        <v>845.8</v>
      </c>
      <c r="K123" s="7" t="s">
        <v>284</v>
      </c>
      <c r="V123" s="7" t="s">
        <v>47</v>
      </c>
      <c r="W123" s="7" t="s">
        <v>98</v>
      </c>
      <c r="X123" s="7" t="s">
        <v>148</v>
      </c>
      <c r="Y123" s="7" t="s">
        <v>285</v>
      </c>
      <c r="Z123" s="7" t="s">
        <v>286</v>
      </c>
      <c r="AA123" s="7">
        <v>0.06</v>
      </c>
      <c r="AB123" s="7">
        <v>0.59</v>
      </c>
      <c r="AC123" s="7">
        <v>0.011</v>
      </c>
      <c r="AD123" s="7">
        <v>0.002</v>
      </c>
      <c r="AE123" s="7">
        <v>0.244</v>
      </c>
      <c r="AF123" s="7">
        <v>0.1</v>
      </c>
      <c r="AG123" s="7">
        <v>0.03</v>
      </c>
      <c r="AH123" s="7">
        <v>0.06</v>
      </c>
      <c r="AI123" s="7">
        <v>0.01</v>
      </c>
      <c r="AJ123" s="7">
        <v>0.002</v>
      </c>
      <c r="AK123" s="7">
        <v>0.03</v>
      </c>
      <c r="AL123" s="7">
        <v>0.003</v>
      </c>
      <c r="AM123" s="7">
        <v>0.009</v>
      </c>
      <c r="AN123" s="7">
        <v>0</v>
      </c>
      <c r="AO123" s="7">
        <v>0.0001</v>
      </c>
      <c r="AP123" s="7">
        <v>0.0055</v>
      </c>
      <c r="AQ123" s="7">
        <v>0.0019</v>
      </c>
    </row>
    <row r="124" ht="30" customHeight="1">
      <c r="A124" s="6">
        <v>5647418</v>
      </c>
      <c r="C124" s="7" t="s">
        <v>51</v>
      </c>
      <c r="D124" s="7" t="s">
        <v>44</v>
      </c>
      <c r="E124" s="6">
        <v>0.225</v>
      </c>
      <c r="F124" s="7" t="s">
        <v>45</v>
      </c>
      <c r="G124" s="8">
        <v>65.12</v>
      </c>
      <c r="H124" s="9">
        <v>79580</v>
      </c>
      <c r="I124" s="10">
        <f t="shared" si="0"/>
        <v>39.79</v>
      </c>
      <c r="J124" s="10">
        <f t="shared" si="1"/>
        <v>795.8</v>
      </c>
      <c r="K124" s="7" t="s">
        <v>287</v>
      </c>
      <c r="V124" s="7" t="s">
        <v>47</v>
      </c>
      <c r="W124" s="7" t="s">
        <v>98</v>
      </c>
      <c r="X124" s="7" t="s">
        <v>136</v>
      </c>
      <c r="Y124" s="7" t="s">
        <v>110</v>
      </c>
      <c r="Z124" s="7" t="s">
        <v>286</v>
      </c>
      <c r="AA124" s="7">
        <v>0.05</v>
      </c>
      <c r="AB124" s="7">
        <v>1.28</v>
      </c>
      <c r="AC124" s="7">
        <v>0.012</v>
      </c>
      <c r="AD124" s="7">
        <v>0.001</v>
      </c>
      <c r="AE124" s="7">
        <v>0.194</v>
      </c>
      <c r="AF124" s="7">
        <v>0.11</v>
      </c>
      <c r="AG124" s="7">
        <v>0.03</v>
      </c>
      <c r="AH124" s="7">
        <v>0.14</v>
      </c>
      <c r="AI124" s="7">
        <v>0.13</v>
      </c>
      <c r="AJ124" s="7">
        <v>0.002</v>
      </c>
      <c r="AK124" s="7">
        <v>0.028</v>
      </c>
      <c r="AL124" s="7">
        <v>0.006</v>
      </c>
      <c r="AM124" s="7">
        <v>0.052</v>
      </c>
      <c r="AN124" s="7">
        <v>0.012</v>
      </c>
      <c r="AO124" s="7">
        <v>0.0002</v>
      </c>
      <c r="AP124" s="7">
        <v>0.0059</v>
      </c>
      <c r="AQ124" s="7">
        <v>0.0018</v>
      </c>
    </row>
    <row r="125" ht="45" customHeight="1">
      <c r="A125" s="6">
        <v>5711518</v>
      </c>
      <c r="C125" s="7" t="s">
        <v>51</v>
      </c>
      <c r="D125" s="7" t="s">
        <v>44</v>
      </c>
      <c r="E125" s="6">
        <v>0.226</v>
      </c>
      <c r="F125" s="7" t="s">
        <v>45</v>
      </c>
      <c r="G125" s="8">
        <v>61.78</v>
      </c>
      <c r="H125" s="9">
        <v>78400</v>
      </c>
      <c r="I125" s="10">
        <f t="shared" si="0"/>
        <v>39.2</v>
      </c>
      <c r="J125" s="10">
        <f t="shared" si="1"/>
        <v>784</v>
      </c>
      <c r="K125" s="7" t="s">
        <v>272</v>
      </c>
      <c r="V125" s="7" t="s">
        <v>47</v>
      </c>
      <c r="W125" s="7" t="s">
        <v>273</v>
      </c>
      <c r="X125" s="7" t="s">
        <v>239</v>
      </c>
      <c r="Y125" s="7" t="s">
        <v>189</v>
      </c>
      <c r="Z125" s="7" t="s">
        <v>288</v>
      </c>
      <c r="AA125" s="7">
        <v>0.2</v>
      </c>
      <c r="AB125" s="7">
        <v>0.87</v>
      </c>
      <c r="AC125" s="7">
        <v>0.009</v>
      </c>
      <c r="AD125" s="7">
        <v>0.001</v>
      </c>
      <c r="AE125" s="7">
        <v>0.021</v>
      </c>
      <c r="AF125" s="7">
        <v>0.12</v>
      </c>
      <c r="AG125" s="7">
        <v>0.03</v>
      </c>
      <c r="AH125" s="7">
        <v>0.06</v>
      </c>
      <c r="AI125" s="7">
        <v>0.01</v>
      </c>
      <c r="AJ125" s="7">
        <v>0.003</v>
      </c>
      <c r="AK125" s="7">
        <v>0.022</v>
      </c>
      <c r="AL125" s="7">
        <v>0.003</v>
      </c>
      <c r="AM125" s="7">
        <v>0.001</v>
      </c>
      <c r="AN125" s="7">
        <v>0</v>
      </c>
      <c r="AO125" s="7">
        <v>0</v>
      </c>
      <c r="AP125" s="7">
        <v>0.0069</v>
      </c>
      <c r="AQ125" s="7">
        <v>0.0012</v>
      </c>
    </row>
    <row r="126" ht="30" customHeight="1">
      <c r="A126" s="6">
        <v>5709090</v>
      </c>
      <c r="C126" s="7" t="s">
        <v>51</v>
      </c>
      <c r="D126" s="7" t="s">
        <v>44</v>
      </c>
      <c r="E126" s="6">
        <v>0.226</v>
      </c>
      <c r="F126" s="7" t="s">
        <v>45</v>
      </c>
      <c r="G126" s="8">
        <v>62.4</v>
      </c>
      <c r="H126" s="9">
        <v>77440</v>
      </c>
      <c r="I126" s="10">
        <f t="shared" si="0"/>
        <v>38.72</v>
      </c>
      <c r="J126" s="10">
        <f t="shared" si="1"/>
        <v>774.4</v>
      </c>
      <c r="K126" s="7" t="s">
        <v>272</v>
      </c>
      <c r="V126" s="7" t="s">
        <v>58</v>
      </c>
      <c r="W126" s="7" t="s">
        <v>289</v>
      </c>
      <c r="X126" s="7" t="s">
        <v>119</v>
      </c>
      <c r="Y126" s="7" t="s">
        <v>290</v>
      </c>
      <c r="Z126" s="7" t="s">
        <v>291</v>
      </c>
      <c r="AA126" s="7">
        <v>0.2</v>
      </c>
      <c r="AB126" s="7">
        <v>0.83</v>
      </c>
      <c r="AC126" s="7">
        <v>0.01</v>
      </c>
      <c r="AD126" s="7">
        <v>0</v>
      </c>
      <c r="AE126" s="7">
        <v>0.025</v>
      </c>
      <c r="AF126" s="7">
        <v>0.12</v>
      </c>
      <c r="AG126" s="7">
        <v>0.03</v>
      </c>
      <c r="AH126" s="7">
        <v>0.05</v>
      </c>
      <c r="AI126" s="7">
        <v>0.01</v>
      </c>
      <c r="AJ126" s="7">
        <v>0.003</v>
      </c>
      <c r="AK126" s="7">
        <v>0.029</v>
      </c>
      <c r="AL126" s="7">
        <v>0.003</v>
      </c>
      <c r="AM126" s="7">
        <v>0.001</v>
      </c>
      <c r="AN126" s="7">
        <v>0.001</v>
      </c>
      <c r="AO126" s="7">
        <v>0.0001</v>
      </c>
      <c r="AP126" s="7">
        <v>0.0065</v>
      </c>
      <c r="AQ126" s="7">
        <v>0.0026</v>
      </c>
    </row>
    <row r="127" ht="30" customHeight="1">
      <c r="A127" s="6">
        <v>5407468</v>
      </c>
      <c r="C127" s="7" t="s">
        <v>51</v>
      </c>
      <c r="D127" s="7" t="s">
        <v>44</v>
      </c>
      <c r="E127" s="6">
        <v>0.238</v>
      </c>
      <c r="F127" s="7" t="s">
        <v>45</v>
      </c>
      <c r="G127" s="8">
        <v>58.99</v>
      </c>
      <c r="H127" s="9">
        <v>52900</v>
      </c>
      <c r="I127" s="10">
        <f t="shared" si="0"/>
        <v>26.45</v>
      </c>
      <c r="J127" s="10">
        <f t="shared" si="1"/>
        <v>529</v>
      </c>
      <c r="K127" s="7" t="s">
        <v>162</v>
      </c>
      <c r="V127" s="7" t="s">
        <v>47</v>
      </c>
      <c r="W127" s="7" t="s">
        <v>98</v>
      </c>
      <c r="X127" s="7" t="s">
        <v>148</v>
      </c>
      <c r="Y127" s="7" t="s">
        <v>50</v>
      </c>
      <c r="Z127" s="7" t="s">
        <v>292</v>
      </c>
      <c r="AA127" s="7">
        <v>0.06</v>
      </c>
      <c r="AB127" s="7">
        <v>0.75</v>
      </c>
      <c r="AC127" s="7">
        <v>0.007</v>
      </c>
      <c r="AD127" s="7">
        <v>0.002</v>
      </c>
      <c r="AE127" s="7">
        <v>0.19</v>
      </c>
      <c r="AF127" s="7">
        <v>0.11</v>
      </c>
      <c r="AG127" s="7">
        <v>0.03</v>
      </c>
      <c r="AH127" s="7">
        <v>0.05</v>
      </c>
      <c r="AI127" s="7">
        <v>0.01</v>
      </c>
      <c r="AJ127" s="7">
        <v>0.002</v>
      </c>
      <c r="AK127" s="7">
        <v>0.049</v>
      </c>
      <c r="AL127" s="7">
        <v>0.005</v>
      </c>
      <c r="AM127" s="7">
        <v>0.014</v>
      </c>
      <c r="AN127" s="7">
        <v>0.091</v>
      </c>
      <c r="AO127" s="7">
        <v>0.0001</v>
      </c>
      <c r="AP127" s="7">
        <v>0.0069</v>
      </c>
      <c r="AQ127" s="7">
        <v>0.0024</v>
      </c>
    </row>
    <row r="128" ht="15" customHeight="1">
      <c r="A128" s="6">
        <v>4951031</v>
      </c>
      <c r="C128" s="7" t="s">
        <v>43</v>
      </c>
      <c r="D128" s="7" t="s">
        <v>44</v>
      </c>
      <c r="E128" s="6">
        <v>0.245</v>
      </c>
      <c r="F128" s="7" t="s">
        <v>63</v>
      </c>
      <c r="G128" s="8">
        <v>48.49</v>
      </c>
      <c r="H128" s="9">
        <v>47040</v>
      </c>
      <c r="I128" s="10">
        <f t="shared" si="0"/>
        <v>23.52</v>
      </c>
      <c r="J128" s="10">
        <f t="shared" si="1"/>
        <v>470.4</v>
      </c>
      <c r="K128" s="7" t="s">
        <v>293</v>
      </c>
      <c r="V128" s="7" t="s">
        <v>47</v>
      </c>
      <c r="W128" s="7" t="s">
        <v>294</v>
      </c>
      <c r="AA128" s="7">
        <v>0.06</v>
      </c>
      <c r="AB128" s="7">
        <v>1.76</v>
      </c>
      <c r="AC128" s="7">
        <v>0.008</v>
      </c>
      <c r="AD128" s="7">
        <v>0.001</v>
      </c>
      <c r="AE128" s="7">
        <v>0.181</v>
      </c>
      <c r="AF128" s="7">
        <v>0.13</v>
      </c>
      <c r="AG128" s="7">
        <v>0.04</v>
      </c>
      <c r="AH128" s="7">
        <v>0.04</v>
      </c>
      <c r="AI128" s="7">
        <v>0.21</v>
      </c>
      <c r="AJ128" s="7">
        <v>0.002</v>
      </c>
      <c r="AK128" s="7">
        <v>0.057</v>
      </c>
      <c r="AL128" s="7">
        <v>0.01</v>
      </c>
      <c r="AM128" s="7">
        <v>0.058</v>
      </c>
      <c r="AN128" s="7">
        <v>0.107</v>
      </c>
      <c r="AO128" s="7">
        <v>0.0002</v>
      </c>
      <c r="AP128" s="7">
        <v>0.0064</v>
      </c>
      <c r="AQ128" s="7">
        <v>0.0013</v>
      </c>
    </row>
    <row r="129" ht="30" customHeight="1">
      <c r="A129" s="6">
        <v>5661985</v>
      </c>
      <c r="C129" s="7" t="s">
        <v>51</v>
      </c>
      <c r="D129" s="7" t="s">
        <v>44</v>
      </c>
      <c r="E129" s="6">
        <v>0.245</v>
      </c>
      <c r="F129" s="7" t="s">
        <v>45</v>
      </c>
      <c r="G129" s="8">
        <v>48.67</v>
      </c>
      <c r="H129" s="9">
        <v>47060</v>
      </c>
      <c r="I129" s="10">
        <f t="shared" si="0"/>
        <v>23.53</v>
      </c>
      <c r="J129" s="10">
        <f t="shared" si="1"/>
        <v>470.6</v>
      </c>
      <c r="K129" s="7" t="s">
        <v>295</v>
      </c>
      <c r="V129" s="7" t="s">
        <v>47</v>
      </c>
      <c r="W129" s="7" t="s">
        <v>95</v>
      </c>
      <c r="X129" s="7" t="s">
        <v>148</v>
      </c>
      <c r="Y129" s="7" t="s">
        <v>50</v>
      </c>
      <c r="Z129" s="7" t="s">
        <v>296</v>
      </c>
      <c r="AA129" s="7">
        <v>0.22</v>
      </c>
      <c r="AB129" s="7">
        <v>1.19</v>
      </c>
      <c r="AC129" s="7">
        <v>0.008</v>
      </c>
      <c r="AD129" s="7">
        <v>0.001</v>
      </c>
      <c r="AE129" s="7">
        <v>0.23</v>
      </c>
      <c r="AF129" s="7">
        <v>0.16</v>
      </c>
      <c r="AG129" s="7">
        <v>0.16</v>
      </c>
      <c r="AH129" s="7">
        <v>0.48</v>
      </c>
      <c r="AI129" s="7">
        <v>0.17</v>
      </c>
      <c r="AJ129" s="7">
        <v>0.003</v>
      </c>
      <c r="AK129" s="7">
        <v>0.031</v>
      </c>
      <c r="AL129" s="7">
        <v>0.006</v>
      </c>
      <c r="AM129" s="7">
        <v>0.002</v>
      </c>
      <c r="AN129" s="7">
        <v>0.023</v>
      </c>
      <c r="AO129" s="7">
        <v>0.002</v>
      </c>
      <c r="AP129" s="7">
        <v>0.0053</v>
      </c>
      <c r="AQ129" s="7">
        <v>0.0019</v>
      </c>
    </row>
    <row r="130" ht="30" customHeight="1">
      <c r="A130" s="6">
        <v>5630602</v>
      </c>
      <c r="C130" s="7" t="s">
        <v>51</v>
      </c>
      <c r="D130" s="7" t="s">
        <v>44</v>
      </c>
      <c r="E130" s="6">
        <v>0.245</v>
      </c>
      <c r="F130" s="7" t="s">
        <v>45</v>
      </c>
      <c r="G130" s="8">
        <v>56.18</v>
      </c>
      <c r="H130" s="9">
        <v>54600</v>
      </c>
      <c r="I130" s="10">
        <f t="shared" si="0"/>
        <v>27.3</v>
      </c>
      <c r="J130" s="10">
        <f t="shared" si="1"/>
        <v>546</v>
      </c>
      <c r="K130" s="7" t="s">
        <v>295</v>
      </c>
      <c r="V130" s="7" t="s">
        <v>47</v>
      </c>
      <c r="W130" s="7" t="s">
        <v>297</v>
      </c>
      <c r="X130" s="7" t="s">
        <v>50</v>
      </c>
      <c r="Y130" s="7" t="s">
        <v>245</v>
      </c>
      <c r="Z130" s="7" t="s">
        <v>298</v>
      </c>
      <c r="AA130" s="7">
        <v>0.23</v>
      </c>
      <c r="AB130" s="7">
        <v>1.19</v>
      </c>
      <c r="AC130" s="7">
        <v>0.011</v>
      </c>
      <c r="AD130" s="7">
        <v>0.001</v>
      </c>
      <c r="AE130" s="7">
        <v>0.234</v>
      </c>
      <c r="AF130" s="7">
        <v>0.16</v>
      </c>
      <c r="AG130" s="7">
        <v>0.17</v>
      </c>
      <c r="AH130" s="7">
        <v>0.5</v>
      </c>
      <c r="AI130" s="7">
        <v>0.18</v>
      </c>
      <c r="AJ130" s="7">
        <v>0.004</v>
      </c>
      <c r="AK130" s="7">
        <v>0.039</v>
      </c>
      <c r="AL130" s="7">
        <v>0.006</v>
      </c>
      <c r="AM130" s="7">
        <v>0.001</v>
      </c>
      <c r="AN130" s="7">
        <v>0.026</v>
      </c>
      <c r="AO130" s="7">
        <v>0.0017</v>
      </c>
      <c r="AP130" s="7">
        <v>0.0056</v>
      </c>
      <c r="AQ130" s="7">
        <v>0.0012</v>
      </c>
    </row>
    <row r="131" ht="30" customHeight="1">
      <c r="A131" s="6">
        <v>5630601</v>
      </c>
      <c r="C131" s="7" t="s">
        <v>51</v>
      </c>
      <c r="D131" s="7" t="s">
        <v>44</v>
      </c>
      <c r="E131" s="6">
        <v>0.245</v>
      </c>
      <c r="F131" s="7" t="s">
        <v>45</v>
      </c>
      <c r="G131" s="8">
        <v>58.5</v>
      </c>
      <c r="H131" s="9">
        <v>56920</v>
      </c>
      <c r="I131" s="10">
        <f t="shared" si="0"/>
        <v>28.46</v>
      </c>
      <c r="J131" s="10">
        <f t="shared" si="1"/>
        <v>569.2</v>
      </c>
      <c r="K131" s="7" t="s">
        <v>295</v>
      </c>
      <c r="V131" s="7" t="s">
        <v>58</v>
      </c>
      <c r="W131" s="7" t="s">
        <v>261</v>
      </c>
      <c r="X131" s="7" t="s">
        <v>50</v>
      </c>
      <c r="Y131" s="7" t="s">
        <v>169</v>
      </c>
      <c r="Z131" s="7" t="s">
        <v>299</v>
      </c>
      <c r="AA131" s="7">
        <v>0.23</v>
      </c>
      <c r="AB131" s="7">
        <v>1.19</v>
      </c>
      <c r="AC131" s="7">
        <v>0.011</v>
      </c>
      <c r="AD131" s="7">
        <v>0.001</v>
      </c>
      <c r="AE131" s="7">
        <v>0.234</v>
      </c>
      <c r="AF131" s="7">
        <v>0.16</v>
      </c>
      <c r="AG131" s="7">
        <v>0.17</v>
      </c>
      <c r="AH131" s="7">
        <v>0.5</v>
      </c>
      <c r="AI131" s="7">
        <v>0.18</v>
      </c>
      <c r="AJ131" s="7">
        <v>0.004</v>
      </c>
      <c r="AK131" s="7">
        <v>0.039</v>
      </c>
      <c r="AL131" s="7">
        <v>0.006</v>
      </c>
      <c r="AM131" s="7">
        <v>0.001</v>
      </c>
      <c r="AN131" s="7">
        <v>0.026</v>
      </c>
      <c r="AO131" s="7">
        <v>0.0017</v>
      </c>
      <c r="AP131" s="7">
        <v>0.0056</v>
      </c>
      <c r="AQ131" s="7">
        <v>0.0012</v>
      </c>
    </row>
    <row r="132" ht="45" customHeight="1">
      <c r="A132" s="6">
        <v>5726618</v>
      </c>
      <c r="C132" s="7" t="s">
        <v>51</v>
      </c>
      <c r="D132" s="7" t="s">
        <v>44</v>
      </c>
      <c r="E132" s="6">
        <v>0.246</v>
      </c>
      <c r="F132" s="7" t="s">
        <v>63</v>
      </c>
      <c r="G132" s="8">
        <v>57.1</v>
      </c>
      <c r="H132" s="9">
        <v>47760</v>
      </c>
      <c r="I132" s="10">
        <f t="shared" si="0"/>
        <v>23.88</v>
      </c>
      <c r="J132" s="10">
        <f t="shared" si="1"/>
        <v>477.6</v>
      </c>
      <c r="K132" s="7" t="s">
        <v>275</v>
      </c>
      <c r="V132" s="7" t="s">
        <v>58</v>
      </c>
      <c r="W132" s="7" t="s">
        <v>300</v>
      </c>
      <c r="X132" s="7" t="s">
        <v>165</v>
      </c>
      <c r="Y132" s="7" t="s">
        <v>61</v>
      </c>
      <c r="Z132" s="7" t="s">
        <v>301</v>
      </c>
      <c r="AA132" s="7">
        <v>0.06</v>
      </c>
      <c r="AB132" s="7">
        <v>0.97</v>
      </c>
      <c r="AC132" s="7">
        <v>0.011</v>
      </c>
      <c r="AD132" s="7">
        <v>0.001</v>
      </c>
      <c r="AE132" s="7">
        <v>0.173</v>
      </c>
      <c r="AF132" s="7">
        <v>0.11</v>
      </c>
      <c r="AG132" s="7">
        <v>0.03</v>
      </c>
      <c r="AH132" s="7">
        <v>0.07</v>
      </c>
      <c r="AI132" s="7">
        <v>0.01</v>
      </c>
      <c r="AJ132" s="7">
        <v>0.004</v>
      </c>
      <c r="AK132" s="7">
        <v>0.023</v>
      </c>
      <c r="AL132" s="7">
        <v>0.004</v>
      </c>
      <c r="AM132" s="7">
        <v>0.022</v>
      </c>
      <c r="AN132" s="7">
        <v>0.009</v>
      </c>
      <c r="AO132" s="7">
        <v>0.0001</v>
      </c>
      <c r="AP132" s="7">
        <v>0.0082</v>
      </c>
      <c r="AQ132" s="7">
        <v>0.0015</v>
      </c>
    </row>
    <row r="133" ht="30" customHeight="1">
      <c r="A133" s="6">
        <v>5717138</v>
      </c>
      <c r="C133" s="7" t="s">
        <v>51</v>
      </c>
      <c r="D133" s="7" t="s">
        <v>44</v>
      </c>
      <c r="E133" s="6">
        <v>0.246</v>
      </c>
      <c r="F133" s="7" t="s">
        <v>45</v>
      </c>
      <c r="G133" s="8">
        <v>61.5</v>
      </c>
      <c r="H133" s="9">
        <v>51380</v>
      </c>
      <c r="I133" s="10">
        <f t="shared" si="0"/>
        <v>25.69</v>
      </c>
      <c r="J133" s="10">
        <f t="shared" si="1"/>
        <v>513.8</v>
      </c>
      <c r="K133" s="7" t="s">
        <v>57</v>
      </c>
      <c r="V133" s="7" t="s">
        <v>58</v>
      </c>
      <c r="W133" s="7" t="s">
        <v>109</v>
      </c>
      <c r="X133" s="7" t="s">
        <v>189</v>
      </c>
      <c r="Y133" s="7" t="s">
        <v>96</v>
      </c>
      <c r="Z133" s="7" t="s">
        <v>302</v>
      </c>
      <c r="AA133" s="7">
        <v>0.07</v>
      </c>
      <c r="AB133" s="7">
        <v>1.56</v>
      </c>
      <c r="AC133" s="7">
        <v>0.014</v>
      </c>
      <c r="AD133" s="7">
        <v>0.001</v>
      </c>
      <c r="AE133" s="7">
        <v>0.241</v>
      </c>
      <c r="AF133" s="7">
        <v>0.11</v>
      </c>
      <c r="AG133" s="7">
        <v>0.03</v>
      </c>
      <c r="AH133" s="7">
        <v>0.57</v>
      </c>
      <c r="AI133" s="7">
        <v>0.01</v>
      </c>
      <c r="AJ133" s="7">
        <v>0.005</v>
      </c>
      <c r="AK133" s="7">
        <v>0.042</v>
      </c>
      <c r="AL133" s="7">
        <v>0.006</v>
      </c>
      <c r="AM133" s="7">
        <v>0.037</v>
      </c>
      <c r="AN133" s="7">
        <v>0.014</v>
      </c>
      <c r="AO133" s="7">
        <v>0.0001</v>
      </c>
      <c r="AP133" s="7">
        <v>0.0055</v>
      </c>
      <c r="AQ133" s="7">
        <v>0.0013</v>
      </c>
    </row>
    <row r="134" ht="30" customHeight="1">
      <c r="A134" s="6">
        <v>5636553</v>
      </c>
      <c r="C134" s="7" t="s">
        <v>43</v>
      </c>
      <c r="D134" s="7" t="s">
        <v>44</v>
      </c>
      <c r="E134" s="6">
        <v>0.28</v>
      </c>
      <c r="F134" s="7" t="s">
        <v>63</v>
      </c>
      <c r="G134" s="8">
        <v>47.6</v>
      </c>
      <c r="H134" s="9">
        <v>34820</v>
      </c>
      <c r="I134" s="10">
        <f t="shared" si="0"/>
        <v>17.41</v>
      </c>
      <c r="J134" s="10">
        <f t="shared" si="1"/>
        <v>348.2</v>
      </c>
      <c r="K134" s="7" t="s">
        <v>303</v>
      </c>
      <c r="V134" s="7" t="s">
        <v>58</v>
      </c>
      <c r="W134" s="7" t="s">
        <v>304</v>
      </c>
      <c r="X134" s="7" t="s">
        <v>305</v>
      </c>
      <c r="Y134" s="7" t="s">
        <v>306</v>
      </c>
      <c r="Z134" s="7" t="s">
        <v>307</v>
      </c>
      <c r="AA134" s="7">
        <v>0.2</v>
      </c>
      <c r="AB134" s="7">
        <v>0.41</v>
      </c>
      <c r="AC134" s="7">
        <v>0.012</v>
      </c>
      <c r="AD134" s="7">
        <v>0.003</v>
      </c>
      <c r="AE134" s="7">
        <v>0.021</v>
      </c>
      <c r="AF134" s="7">
        <v>0.11</v>
      </c>
      <c r="AG134" s="7">
        <v>0.04</v>
      </c>
      <c r="AH134" s="7">
        <v>0.06</v>
      </c>
      <c r="AI134" s="7">
        <v>0.01</v>
      </c>
      <c r="AJ134" s="7">
        <v>0.002</v>
      </c>
      <c r="AK134" s="7">
        <v>0.027</v>
      </c>
      <c r="AL134" s="7">
        <v>0.002</v>
      </c>
      <c r="AM134" s="7">
        <v>0.006</v>
      </c>
      <c r="AN134" s="7">
        <v>0.001</v>
      </c>
      <c r="AO134" s="7">
        <v>0.0003</v>
      </c>
      <c r="AP134" s="7">
        <v>0.0057</v>
      </c>
      <c r="AQ134" s="7">
        <v>0.0021</v>
      </c>
    </row>
    <row r="135" ht="30" customHeight="1">
      <c r="A135" s="6">
        <v>5673891</v>
      </c>
      <c r="C135" s="7" t="s">
        <v>43</v>
      </c>
      <c r="D135" s="7" t="s">
        <v>44</v>
      </c>
      <c r="E135" s="6">
        <v>0.286</v>
      </c>
      <c r="F135" s="7" t="s">
        <v>63</v>
      </c>
      <c r="G135" s="8">
        <v>49.75</v>
      </c>
      <c r="H135" s="9">
        <v>34580</v>
      </c>
      <c r="I135" s="10">
        <f t="shared" si="0"/>
        <v>17.29</v>
      </c>
      <c r="J135" s="10">
        <f t="shared" si="1"/>
        <v>345.8</v>
      </c>
      <c r="K135" s="7" t="s">
        <v>90</v>
      </c>
      <c r="V135" s="7" t="s">
        <v>47</v>
      </c>
      <c r="W135" s="7" t="s">
        <v>308</v>
      </c>
      <c r="X135" s="7" t="s">
        <v>216</v>
      </c>
      <c r="Y135" s="7" t="s">
        <v>304</v>
      </c>
      <c r="Z135" s="7" t="s">
        <v>307</v>
      </c>
      <c r="AA135" s="7">
        <v>0.04</v>
      </c>
      <c r="AB135" s="7">
        <v>0.19</v>
      </c>
      <c r="AC135" s="7">
        <v>0.011</v>
      </c>
      <c r="AD135" s="7">
        <v>0.003</v>
      </c>
      <c r="AE135" s="7">
        <v>0.024</v>
      </c>
      <c r="AF135" s="7">
        <v>0.11</v>
      </c>
      <c r="AG135" s="7">
        <v>0.03</v>
      </c>
      <c r="AH135" s="7">
        <v>0.06</v>
      </c>
      <c r="AI135" s="7">
        <v>0.01</v>
      </c>
      <c r="AJ135" s="7">
        <v>0.003</v>
      </c>
      <c r="AK135" s="7">
        <v>0.031</v>
      </c>
      <c r="AL135" s="7">
        <v>0.001</v>
      </c>
      <c r="AM135" s="7">
        <v>0.001</v>
      </c>
      <c r="AN135" s="7">
        <v>0.001</v>
      </c>
      <c r="AO135" s="7">
        <v>0.0001</v>
      </c>
      <c r="AP135" s="7">
        <v>0.005</v>
      </c>
      <c r="AQ135" s="7">
        <v>0.0017</v>
      </c>
    </row>
    <row r="136" ht="45" customHeight="1">
      <c r="A136" s="6">
        <v>5648935</v>
      </c>
      <c r="C136" s="7" t="s">
        <v>51</v>
      </c>
      <c r="D136" s="7" t="s">
        <v>44</v>
      </c>
      <c r="E136" s="6">
        <v>0.3</v>
      </c>
      <c r="F136" s="7" t="s">
        <v>45</v>
      </c>
      <c r="G136" s="8">
        <v>61.01</v>
      </c>
      <c r="H136" s="9">
        <v>56080</v>
      </c>
      <c r="I136" s="10">
        <f t="shared" si="0"/>
        <v>28.04</v>
      </c>
      <c r="J136" s="10">
        <f t="shared" si="1"/>
        <v>560.8</v>
      </c>
      <c r="K136" s="7" t="s">
        <v>86</v>
      </c>
      <c r="V136" s="7" t="s">
        <v>52</v>
      </c>
      <c r="W136" s="7" t="s">
        <v>98</v>
      </c>
      <c r="X136" s="7" t="s">
        <v>180</v>
      </c>
      <c r="Y136" s="7" t="s">
        <v>154</v>
      </c>
      <c r="Z136" s="7" t="s">
        <v>309</v>
      </c>
      <c r="AA136" s="7">
        <v>0.05</v>
      </c>
      <c r="AB136" s="7">
        <v>0.73</v>
      </c>
      <c r="AC136" s="7">
        <v>0.012</v>
      </c>
      <c r="AD136" s="7">
        <v>0</v>
      </c>
      <c r="AE136" s="7">
        <v>0.178</v>
      </c>
      <c r="AF136" s="7">
        <v>0.09</v>
      </c>
      <c r="AG136" s="7">
        <v>0.03</v>
      </c>
      <c r="AH136" s="7">
        <v>0.05</v>
      </c>
      <c r="AI136" s="7">
        <v>0.01</v>
      </c>
      <c r="AJ136" s="7">
        <v>0.002</v>
      </c>
      <c r="AK136" s="7">
        <v>0.053</v>
      </c>
      <c r="AL136" s="7">
        <v>0.005</v>
      </c>
      <c r="AM136" s="7">
        <v>0.001</v>
      </c>
      <c r="AN136" s="7">
        <v>0.058</v>
      </c>
      <c r="AO136" s="7">
        <v>0.0003</v>
      </c>
      <c r="AP136" s="7">
        <v>0.009</v>
      </c>
      <c r="AQ136" s="7">
        <v>0.0014</v>
      </c>
    </row>
    <row r="137" ht="30" customHeight="1">
      <c r="A137" s="6">
        <v>5637446</v>
      </c>
      <c r="C137" s="7" t="s">
        <v>51</v>
      </c>
      <c r="D137" s="7" t="s">
        <v>44</v>
      </c>
      <c r="E137" s="6">
        <v>0.308</v>
      </c>
      <c r="F137" s="7" t="s">
        <v>63</v>
      </c>
      <c r="G137" s="8">
        <v>60.49</v>
      </c>
      <c r="H137" s="9">
        <v>43820</v>
      </c>
      <c r="I137" s="10">
        <f t="shared" si="0"/>
        <v>21.91</v>
      </c>
      <c r="J137" s="10">
        <f t="shared" si="1"/>
        <v>438.2</v>
      </c>
      <c r="K137" s="7" t="s">
        <v>279</v>
      </c>
      <c r="L137" s="7">
        <v>90.9</v>
      </c>
      <c r="M137" s="7">
        <v>100.2</v>
      </c>
      <c r="N137" s="7">
        <v>21.9</v>
      </c>
      <c r="O137" s="7">
        <v>95</v>
      </c>
      <c r="V137" s="7" t="s">
        <v>58</v>
      </c>
      <c r="W137" s="7" t="s">
        <v>144</v>
      </c>
      <c r="X137" s="7" t="s">
        <v>310</v>
      </c>
      <c r="Z137" s="7" t="s">
        <v>311</v>
      </c>
      <c r="AA137" s="7">
        <v>0.05</v>
      </c>
      <c r="AB137" s="7">
        <v>0.73</v>
      </c>
      <c r="AC137" s="7">
        <v>0.009</v>
      </c>
      <c r="AD137" s="7">
        <v>0.001</v>
      </c>
      <c r="AE137" s="7">
        <v>0.198</v>
      </c>
      <c r="AF137" s="7">
        <v>0.13</v>
      </c>
      <c r="AG137" s="7">
        <v>0.03</v>
      </c>
      <c r="AH137" s="7">
        <v>0.04</v>
      </c>
      <c r="AI137" s="7">
        <v>0.01</v>
      </c>
      <c r="AJ137" s="7">
        <v>0.003</v>
      </c>
      <c r="AK137" s="7">
        <v>0.053</v>
      </c>
      <c r="AL137" s="7">
        <v>0.006</v>
      </c>
      <c r="AM137" s="7">
        <v>0.012</v>
      </c>
      <c r="AN137" s="7">
        <v>0.078</v>
      </c>
      <c r="AO137" s="7">
        <v>0.0002</v>
      </c>
      <c r="AP137" s="7">
        <v>0.0063</v>
      </c>
      <c r="AQ137" s="7">
        <v>0.0018</v>
      </c>
    </row>
    <row r="138" ht="105" customHeight="1">
      <c r="A138" s="6">
        <v>5603938</v>
      </c>
      <c r="C138" s="7" t="s">
        <v>51</v>
      </c>
      <c r="D138" s="7" t="s">
        <v>44</v>
      </c>
      <c r="E138" s="6">
        <v>0.311</v>
      </c>
      <c r="F138" s="7" t="s">
        <v>63</v>
      </c>
      <c r="G138" s="8">
        <v>60.36</v>
      </c>
      <c r="H138" s="9">
        <v>47520</v>
      </c>
      <c r="I138" s="10">
        <f t="shared" si="0"/>
        <v>23.76</v>
      </c>
      <c r="J138" s="10">
        <f t="shared" si="1"/>
        <v>475.2</v>
      </c>
      <c r="K138" s="7" t="s">
        <v>138</v>
      </c>
      <c r="V138" s="7" t="s">
        <v>47</v>
      </c>
      <c r="W138" s="7" t="s">
        <v>82</v>
      </c>
      <c r="X138" s="7" t="s">
        <v>312</v>
      </c>
      <c r="Y138" s="7" t="s">
        <v>313</v>
      </c>
      <c r="Z138" s="7" t="s">
        <v>314</v>
      </c>
      <c r="AA138" s="7">
        <v>0.05</v>
      </c>
      <c r="AB138" s="7">
        <v>1.57</v>
      </c>
      <c r="AC138" s="7">
        <v>0.01</v>
      </c>
      <c r="AD138" s="7">
        <v>0</v>
      </c>
      <c r="AE138" s="7">
        <v>0.213</v>
      </c>
      <c r="AF138" s="7">
        <v>0.1</v>
      </c>
      <c r="AG138" s="7">
        <v>0.1</v>
      </c>
      <c r="AH138" s="7">
        <v>0.12</v>
      </c>
      <c r="AI138" s="7">
        <v>0.12</v>
      </c>
      <c r="AJ138" s="7">
        <v>0.003</v>
      </c>
      <c r="AK138" s="7">
        <v>0.044</v>
      </c>
      <c r="AL138" s="7">
        <v>0.01</v>
      </c>
      <c r="AM138" s="7">
        <v>0.045</v>
      </c>
      <c r="AN138" s="7">
        <v>0.096</v>
      </c>
      <c r="AO138" s="7">
        <v>0.0006</v>
      </c>
      <c r="AP138" s="7">
        <v>0.0075</v>
      </c>
      <c r="AQ138" s="7">
        <v>0.002</v>
      </c>
    </row>
    <row r="139" ht="30" customHeight="1">
      <c r="A139" s="6">
        <v>5590109</v>
      </c>
      <c r="C139" s="7" t="s">
        <v>51</v>
      </c>
      <c r="D139" s="7" t="s">
        <v>44</v>
      </c>
      <c r="E139" s="6">
        <v>0.319</v>
      </c>
      <c r="F139" s="7" t="s">
        <v>63</v>
      </c>
      <c r="G139" s="8">
        <v>57.88</v>
      </c>
      <c r="H139" s="9">
        <v>71520</v>
      </c>
      <c r="I139" s="10">
        <f t="shared" si="0"/>
        <v>35.76</v>
      </c>
      <c r="J139" s="10">
        <f t="shared" si="1"/>
        <v>715.2</v>
      </c>
      <c r="K139" s="7" t="s">
        <v>142</v>
      </c>
      <c r="L139" s="7">
        <v>55.6</v>
      </c>
      <c r="M139" s="7">
        <v>70.8</v>
      </c>
      <c r="N139" s="7">
        <v>34.6</v>
      </c>
      <c r="O139" s="7">
        <v>81</v>
      </c>
      <c r="V139" s="7" t="s">
        <v>52</v>
      </c>
      <c r="W139" s="7" t="s">
        <v>95</v>
      </c>
      <c r="X139" s="7" t="s">
        <v>315</v>
      </c>
      <c r="Y139" s="7" t="s">
        <v>50</v>
      </c>
      <c r="Z139" s="7" t="s">
        <v>316</v>
      </c>
      <c r="AA139" s="7">
        <v>0.05</v>
      </c>
      <c r="AB139" s="7">
        <v>0.54</v>
      </c>
      <c r="AC139" s="7">
        <v>0.062</v>
      </c>
      <c r="AD139" s="7">
        <v>0.002</v>
      </c>
      <c r="AE139" s="7">
        <v>0.267</v>
      </c>
      <c r="AF139" s="7">
        <v>0.11</v>
      </c>
      <c r="AG139" s="7">
        <v>0.05</v>
      </c>
      <c r="AH139" s="7">
        <v>0.06</v>
      </c>
      <c r="AI139" s="7">
        <v>0.01</v>
      </c>
      <c r="AJ139" s="7">
        <v>0.003</v>
      </c>
      <c r="AK139" s="7">
        <v>0.033</v>
      </c>
      <c r="AL139" s="7">
        <v>0.003</v>
      </c>
      <c r="AM139" s="7">
        <v>0.001</v>
      </c>
      <c r="AN139" s="7">
        <v>0.001</v>
      </c>
      <c r="AO139" s="7">
        <v>0.0002</v>
      </c>
      <c r="AP139" s="7">
        <v>0.0105</v>
      </c>
      <c r="AQ139" s="7">
        <v>0.0005</v>
      </c>
    </row>
    <row r="140" ht="30" customHeight="1">
      <c r="A140" s="6">
        <v>5664081</v>
      </c>
      <c r="C140" s="7" t="s">
        <v>51</v>
      </c>
      <c r="D140" s="7" t="s">
        <v>44</v>
      </c>
      <c r="E140" s="6">
        <v>0.335</v>
      </c>
      <c r="F140" s="7" t="s">
        <v>63</v>
      </c>
      <c r="G140" s="8">
        <v>60.63</v>
      </c>
      <c r="H140" s="9">
        <v>75200</v>
      </c>
      <c r="I140" s="10">
        <f t="shared" si="0"/>
        <v>37.6</v>
      </c>
      <c r="J140" s="10">
        <f t="shared" si="1"/>
        <v>752</v>
      </c>
      <c r="K140" s="7" t="s">
        <v>275</v>
      </c>
      <c r="V140" s="7" t="s">
        <v>47</v>
      </c>
      <c r="W140" s="7" t="s">
        <v>273</v>
      </c>
      <c r="X140" s="7" t="s">
        <v>144</v>
      </c>
      <c r="Y140" s="7" t="s">
        <v>187</v>
      </c>
      <c r="Z140" s="7" t="s">
        <v>317</v>
      </c>
      <c r="AA140" s="7">
        <v>0.05</v>
      </c>
      <c r="AB140" s="7">
        <v>0.92</v>
      </c>
      <c r="AC140" s="7">
        <v>0.011</v>
      </c>
      <c r="AD140" s="7">
        <v>0.001</v>
      </c>
      <c r="AE140" s="7">
        <v>0.187</v>
      </c>
      <c r="AF140" s="7">
        <v>0.11</v>
      </c>
      <c r="AG140" s="7">
        <v>0.03</v>
      </c>
      <c r="AH140" s="7">
        <v>0.06</v>
      </c>
      <c r="AI140" s="7">
        <v>0.01</v>
      </c>
      <c r="AJ140" s="7">
        <v>0.002</v>
      </c>
      <c r="AK140" s="7">
        <v>0.023</v>
      </c>
      <c r="AL140" s="7">
        <v>0.005</v>
      </c>
      <c r="AM140" s="7">
        <v>0.023</v>
      </c>
      <c r="AN140" s="7">
        <v>0.011</v>
      </c>
      <c r="AO140" s="7">
        <v>0.0002</v>
      </c>
      <c r="AP140" s="7">
        <v>0.0056</v>
      </c>
      <c r="AQ140" s="7">
        <v>0.0025</v>
      </c>
    </row>
    <row r="141" ht="30" customHeight="1">
      <c r="A141" s="6">
        <v>5610272</v>
      </c>
      <c r="C141" s="7" t="s">
        <v>51</v>
      </c>
      <c r="D141" s="7" t="s">
        <v>44</v>
      </c>
      <c r="E141" s="6">
        <v>0.344</v>
      </c>
      <c r="F141" s="7" t="s">
        <v>45</v>
      </c>
      <c r="G141" s="8">
        <v>64.68</v>
      </c>
      <c r="H141" s="9">
        <v>78900</v>
      </c>
      <c r="I141" s="10">
        <f t="shared" si="0"/>
        <v>39.45</v>
      </c>
      <c r="J141" s="10">
        <f t="shared" si="1"/>
        <v>789</v>
      </c>
      <c r="K141" s="7" t="s">
        <v>287</v>
      </c>
      <c r="V141" s="7" t="s">
        <v>47</v>
      </c>
      <c r="W141" s="7" t="s">
        <v>78</v>
      </c>
      <c r="X141" s="7" t="s">
        <v>79</v>
      </c>
      <c r="Y141" s="7" t="s">
        <v>318</v>
      </c>
      <c r="Z141" s="7" t="s">
        <v>319</v>
      </c>
      <c r="AA141" s="7">
        <v>0.04</v>
      </c>
      <c r="AB141" s="7">
        <v>1.23</v>
      </c>
      <c r="AC141" s="7">
        <v>0.013</v>
      </c>
      <c r="AD141" s="7">
        <v>0.001</v>
      </c>
      <c r="AE141" s="7">
        <v>0.218</v>
      </c>
      <c r="AF141" s="7">
        <v>0.12</v>
      </c>
      <c r="AG141" s="7">
        <v>0.03</v>
      </c>
      <c r="AH141" s="7">
        <v>0.13</v>
      </c>
      <c r="AI141" s="7">
        <v>0.13</v>
      </c>
      <c r="AJ141" s="7">
        <v>0.004</v>
      </c>
      <c r="AK141" s="7">
        <v>0.031</v>
      </c>
      <c r="AL141" s="7">
        <v>0.005</v>
      </c>
      <c r="AM141" s="7">
        <v>0.053</v>
      </c>
      <c r="AN141" s="7">
        <v>0.013</v>
      </c>
      <c r="AO141" s="7">
        <v>0.0003</v>
      </c>
      <c r="AP141" s="7">
        <v>0.0059</v>
      </c>
      <c r="AQ141" s="7">
        <v>0.0025</v>
      </c>
    </row>
    <row r="142" ht="30" customHeight="1">
      <c r="A142" s="6">
        <v>5641487</v>
      </c>
      <c r="C142" s="7" t="s">
        <v>51</v>
      </c>
      <c r="D142" s="7" t="s">
        <v>44</v>
      </c>
      <c r="E142" s="6">
        <v>0.344</v>
      </c>
      <c r="F142" s="7" t="s">
        <v>45</v>
      </c>
      <c r="G142" s="8">
        <v>64.69</v>
      </c>
      <c r="H142" s="9">
        <v>78960</v>
      </c>
      <c r="I142" s="10">
        <f t="shared" si="0"/>
        <v>39.48</v>
      </c>
      <c r="J142" s="10">
        <f t="shared" si="1"/>
        <v>789.6</v>
      </c>
      <c r="K142" s="7" t="s">
        <v>287</v>
      </c>
      <c r="L142" s="7">
        <v>78.3</v>
      </c>
      <c r="M142" s="7">
        <v>89</v>
      </c>
      <c r="N142" s="7">
        <v>29.4</v>
      </c>
      <c r="O142" s="7">
        <v>94</v>
      </c>
      <c r="V142" s="7" t="s">
        <v>47</v>
      </c>
      <c r="W142" s="7" t="s">
        <v>98</v>
      </c>
      <c r="X142" s="7" t="s">
        <v>205</v>
      </c>
      <c r="Y142" s="7" t="s">
        <v>320</v>
      </c>
      <c r="Z142" s="7" t="s">
        <v>321</v>
      </c>
      <c r="AA142" s="7">
        <v>0.05</v>
      </c>
      <c r="AB142" s="7">
        <v>1.25</v>
      </c>
      <c r="AC142" s="7">
        <v>0.012</v>
      </c>
      <c r="AD142" s="7">
        <v>0.001</v>
      </c>
      <c r="AE142" s="7">
        <v>0.217</v>
      </c>
      <c r="AF142" s="7">
        <v>0.12</v>
      </c>
      <c r="AG142" s="7">
        <v>0.03</v>
      </c>
      <c r="AH142" s="7">
        <v>0.13</v>
      </c>
      <c r="AI142" s="7">
        <v>0.14</v>
      </c>
      <c r="AJ142" s="7">
        <v>0.004</v>
      </c>
      <c r="AK142" s="7">
        <v>0.033</v>
      </c>
      <c r="AL142" s="7">
        <v>0.005</v>
      </c>
      <c r="AM142" s="7">
        <v>0.055</v>
      </c>
      <c r="AN142" s="7">
        <v>0.014</v>
      </c>
      <c r="AO142" s="7">
        <v>0.0002</v>
      </c>
      <c r="AP142" s="7">
        <v>0.0059</v>
      </c>
      <c r="AQ142" s="7">
        <v>0.0026</v>
      </c>
    </row>
    <row r="143" ht="30" customHeight="1">
      <c r="A143" s="6">
        <v>5610326</v>
      </c>
      <c r="C143" s="7" t="s">
        <v>51</v>
      </c>
      <c r="D143" s="7" t="s">
        <v>44</v>
      </c>
      <c r="E143" s="6">
        <v>0.344</v>
      </c>
      <c r="F143" s="7" t="s">
        <v>45</v>
      </c>
      <c r="G143" s="8">
        <v>64.78</v>
      </c>
      <c r="H143" s="9">
        <v>79280</v>
      </c>
      <c r="I143" s="10">
        <f t="shared" si="0"/>
        <v>39.64</v>
      </c>
      <c r="J143" s="10">
        <f t="shared" si="1"/>
        <v>792.8</v>
      </c>
      <c r="K143" s="7" t="s">
        <v>287</v>
      </c>
      <c r="V143" s="7" t="s">
        <v>47</v>
      </c>
      <c r="W143" s="7" t="s">
        <v>78</v>
      </c>
      <c r="X143" s="7" t="s">
        <v>79</v>
      </c>
      <c r="Y143" s="7" t="s">
        <v>318</v>
      </c>
      <c r="Z143" s="7" t="s">
        <v>322</v>
      </c>
      <c r="AA143" s="7">
        <v>0.05</v>
      </c>
      <c r="AB143" s="7">
        <v>1.27</v>
      </c>
      <c r="AC143" s="7">
        <v>0.008</v>
      </c>
      <c r="AD143" s="7">
        <v>0.002</v>
      </c>
      <c r="AE143" s="7">
        <v>0.172</v>
      </c>
      <c r="AF143" s="7">
        <v>0.13</v>
      </c>
      <c r="AG143" s="7">
        <v>0.04</v>
      </c>
      <c r="AH143" s="7">
        <v>0.14</v>
      </c>
      <c r="AI143" s="7">
        <v>0.13</v>
      </c>
      <c r="AJ143" s="7">
        <v>0.004</v>
      </c>
      <c r="AK143" s="7">
        <v>0.039</v>
      </c>
      <c r="AL143" s="7">
        <v>0.007</v>
      </c>
      <c r="AM143" s="7">
        <v>0.052</v>
      </c>
      <c r="AN143" s="7">
        <v>0.011</v>
      </c>
      <c r="AO143" s="7">
        <v>0.0002</v>
      </c>
      <c r="AP143" s="7">
        <v>0.0071</v>
      </c>
      <c r="AQ143" s="7">
        <v>0.0016</v>
      </c>
    </row>
    <row r="144" ht="30" customHeight="1">
      <c r="A144" s="6">
        <v>5678080</v>
      </c>
      <c r="C144" s="7" t="s">
        <v>43</v>
      </c>
      <c r="D144" s="7" t="s">
        <v>44</v>
      </c>
      <c r="E144" s="6">
        <v>0.356</v>
      </c>
      <c r="F144" s="7" t="s">
        <v>45</v>
      </c>
      <c r="G144" s="8">
        <v>45.31</v>
      </c>
      <c r="H144" s="9">
        <v>28700</v>
      </c>
      <c r="I144" s="10">
        <f t="shared" si="0"/>
        <v>14.35</v>
      </c>
      <c r="J144" s="10">
        <f t="shared" si="1"/>
        <v>287</v>
      </c>
      <c r="K144" s="7" t="s">
        <v>303</v>
      </c>
      <c r="V144" s="7" t="s">
        <v>47</v>
      </c>
      <c r="W144" s="7" t="s">
        <v>294</v>
      </c>
      <c r="X144" s="7" t="s">
        <v>50</v>
      </c>
      <c r="Y144" s="7" t="s">
        <v>140</v>
      </c>
      <c r="AA144" s="7">
        <v>0.19</v>
      </c>
      <c r="AB144" s="7">
        <v>0.41</v>
      </c>
      <c r="AC144" s="7">
        <v>0.017</v>
      </c>
      <c r="AD144" s="7">
        <v>0.002</v>
      </c>
      <c r="AE144" s="7">
        <v>0.018</v>
      </c>
      <c r="AF144" s="7">
        <v>0.13</v>
      </c>
      <c r="AG144" s="7">
        <v>0.04</v>
      </c>
      <c r="AH144" s="7">
        <v>0.08</v>
      </c>
      <c r="AI144" s="7">
        <v>0.01</v>
      </c>
      <c r="AJ144" s="7">
        <v>0.003</v>
      </c>
      <c r="AK144" s="7">
        <v>0.028</v>
      </c>
      <c r="AL144" s="7">
        <v>0.001</v>
      </c>
      <c r="AM144" s="7">
        <v>0.006</v>
      </c>
      <c r="AN144" s="7">
        <v>0</v>
      </c>
      <c r="AO144" s="7">
        <v>0.0001</v>
      </c>
      <c r="AP144" s="7">
        <v>0.0058</v>
      </c>
      <c r="AQ144" s="7">
        <v>0.0025</v>
      </c>
    </row>
    <row r="145" ht="30" customHeight="1">
      <c r="A145" s="6">
        <v>5688822</v>
      </c>
      <c r="C145" s="7" t="s">
        <v>43</v>
      </c>
      <c r="D145" s="7" t="s">
        <v>44</v>
      </c>
      <c r="E145" s="6">
        <v>0.356</v>
      </c>
      <c r="F145" s="7" t="s">
        <v>63</v>
      </c>
      <c r="G145" s="8">
        <v>45.6</v>
      </c>
      <c r="H145" s="9">
        <v>38020</v>
      </c>
      <c r="I145" s="10">
        <f t="shared" si="0"/>
        <v>19.01</v>
      </c>
      <c r="J145" s="10">
        <f t="shared" si="1"/>
        <v>380.2</v>
      </c>
      <c r="K145" s="7" t="s">
        <v>303</v>
      </c>
      <c r="V145" s="7" t="s">
        <v>47</v>
      </c>
      <c r="W145" s="7" t="s">
        <v>323</v>
      </c>
      <c r="X145" s="7" t="s">
        <v>324</v>
      </c>
      <c r="Y145" s="7" t="s">
        <v>115</v>
      </c>
      <c r="AA145" s="7">
        <v>0.2</v>
      </c>
      <c r="AB145" s="7">
        <v>0.39</v>
      </c>
      <c r="AC145" s="7">
        <v>0.011</v>
      </c>
      <c r="AD145" s="7">
        <v>0.002</v>
      </c>
      <c r="AE145" s="7">
        <v>0.039</v>
      </c>
      <c r="AF145" s="7">
        <v>0.11</v>
      </c>
      <c r="AG145" s="7">
        <v>0.03</v>
      </c>
      <c r="AH145" s="7">
        <v>0.06</v>
      </c>
      <c r="AI145" s="7">
        <v>0.01</v>
      </c>
      <c r="AJ145" s="7">
        <v>0.002</v>
      </c>
      <c r="AK145" s="7">
        <v>0.035</v>
      </c>
      <c r="AL145" s="7">
        <v>0.004</v>
      </c>
      <c r="AM145" s="7">
        <v>0.006</v>
      </c>
      <c r="AN145" s="7">
        <v>0.002</v>
      </c>
      <c r="AO145" s="7">
        <v>0.0001</v>
      </c>
      <c r="AP145" s="7">
        <v>0.0058</v>
      </c>
      <c r="AQ145" s="7">
        <v>0.002</v>
      </c>
    </row>
    <row r="146" ht="30" customHeight="1">
      <c r="A146" s="6">
        <v>5236157</v>
      </c>
      <c r="C146" s="7" t="s">
        <v>51</v>
      </c>
      <c r="D146" s="7" t="s">
        <v>44</v>
      </c>
      <c r="E146" s="6">
        <v>0.371</v>
      </c>
      <c r="F146" s="7" t="s">
        <v>63</v>
      </c>
      <c r="G146" s="8">
        <v>48.66</v>
      </c>
      <c r="H146" s="9">
        <v>47160</v>
      </c>
      <c r="I146" s="10">
        <f t="shared" si="0"/>
        <v>23.58</v>
      </c>
      <c r="J146" s="10">
        <f t="shared" si="1"/>
        <v>471.6</v>
      </c>
      <c r="K146" s="7" t="s">
        <v>325</v>
      </c>
      <c r="V146" s="7" t="s">
        <v>47</v>
      </c>
      <c r="W146" s="7" t="s">
        <v>132</v>
      </c>
      <c r="X146" s="7" t="s">
        <v>324</v>
      </c>
      <c r="Y146" s="7" t="s">
        <v>187</v>
      </c>
      <c r="Z146" s="7" t="s">
        <v>326</v>
      </c>
      <c r="AA146" s="7">
        <v>0.31</v>
      </c>
      <c r="AB146" s="7">
        <v>0.52</v>
      </c>
      <c r="AC146" s="7">
        <v>0.011</v>
      </c>
      <c r="AD146" s="7">
        <v>0.001</v>
      </c>
      <c r="AE146" s="7">
        <v>0.311</v>
      </c>
      <c r="AF146" s="7">
        <v>0.13</v>
      </c>
      <c r="AG146" s="7">
        <v>0.53</v>
      </c>
      <c r="AH146" s="7">
        <v>0.52</v>
      </c>
      <c r="AI146" s="7">
        <v>0.3</v>
      </c>
      <c r="AJ146" s="7">
        <v>0.002</v>
      </c>
      <c r="AK146" s="7">
        <v>0.033</v>
      </c>
      <c r="AL146" s="7">
        <v>0.004</v>
      </c>
      <c r="AM146" s="7">
        <v>0.001</v>
      </c>
      <c r="AN146" s="7">
        <v>0.003</v>
      </c>
      <c r="AO146" s="7">
        <v>0.0005</v>
      </c>
      <c r="AP146" s="7">
        <v>0.0094</v>
      </c>
      <c r="AQ146" s="7">
        <v>0.0015</v>
      </c>
    </row>
    <row r="147" ht="30" customHeight="1">
      <c r="A147" s="6">
        <v>5540432</v>
      </c>
      <c r="C147" s="7" t="s">
        <v>51</v>
      </c>
      <c r="D147" s="7" t="s">
        <v>44</v>
      </c>
      <c r="E147" s="6">
        <v>0.371</v>
      </c>
      <c r="F147" s="7" t="s">
        <v>63</v>
      </c>
      <c r="G147" s="8">
        <v>56.77</v>
      </c>
      <c r="H147" s="9">
        <v>67680</v>
      </c>
      <c r="I147" s="10">
        <f t="shared" si="0"/>
        <v>33.84</v>
      </c>
      <c r="J147" s="10">
        <f t="shared" si="1"/>
        <v>676.8</v>
      </c>
      <c r="K147" s="7" t="s">
        <v>327</v>
      </c>
      <c r="L147" s="7">
        <v>37.6</v>
      </c>
      <c r="M147" s="7">
        <v>52.9</v>
      </c>
      <c r="N147" s="7">
        <v>42.7</v>
      </c>
      <c r="O147" s="7">
        <v>65</v>
      </c>
      <c r="V147" s="7" t="s">
        <v>52</v>
      </c>
      <c r="W147" s="7" t="s">
        <v>234</v>
      </c>
      <c r="X147" s="7" t="s">
        <v>306</v>
      </c>
      <c r="Y147" s="7" t="s">
        <v>154</v>
      </c>
      <c r="Z147" s="7" t="s">
        <v>328</v>
      </c>
      <c r="AA147" s="7">
        <v>0.06</v>
      </c>
      <c r="AB147" s="7">
        <v>0.33</v>
      </c>
      <c r="AC147" s="7">
        <v>0.008</v>
      </c>
      <c r="AD147" s="7">
        <v>0.001</v>
      </c>
      <c r="AE147" s="7">
        <v>0.035</v>
      </c>
      <c r="AF147" s="7">
        <v>0.12</v>
      </c>
      <c r="AG147" s="7">
        <v>0.04</v>
      </c>
      <c r="AH147" s="7">
        <v>0.06</v>
      </c>
      <c r="AI147" s="7">
        <v>0.02</v>
      </c>
      <c r="AJ147" s="7">
        <v>0.003</v>
      </c>
      <c r="AK147" s="7">
        <v>0.03</v>
      </c>
      <c r="AL147" s="7">
        <v>0.003</v>
      </c>
      <c r="AM147" s="7">
        <v>0.002</v>
      </c>
      <c r="AN147" s="7">
        <v>0</v>
      </c>
      <c r="AO147" s="7">
        <v>0.0002</v>
      </c>
      <c r="AP147" s="7">
        <v>0.0059</v>
      </c>
      <c r="AQ147" s="7">
        <v>0.0028</v>
      </c>
    </row>
    <row r="148" ht="30" customHeight="1">
      <c r="A148" s="6">
        <v>5603260</v>
      </c>
      <c r="C148" s="7" t="s">
        <v>51</v>
      </c>
      <c r="D148" s="7" t="s">
        <v>44</v>
      </c>
      <c r="E148" s="6">
        <v>0.381</v>
      </c>
      <c r="F148" s="7" t="s">
        <v>63</v>
      </c>
      <c r="G148" s="8">
        <v>48.72</v>
      </c>
      <c r="H148" s="9">
        <v>46300</v>
      </c>
      <c r="I148" s="10">
        <f t="shared" si="0"/>
        <v>23.15</v>
      </c>
      <c r="J148" s="10">
        <f t="shared" si="1"/>
        <v>463</v>
      </c>
      <c r="K148" s="7" t="s">
        <v>243</v>
      </c>
      <c r="L148" s="7">
        <v>84.4</v>
      </c>
      <c r="M148" s="7">
        <v>120.2</v>
      </c>
      <c r="N148" s="7">
        <v>17.5</v>
      </c>
      <c r="O148" s="7">
        <v>99</v>
      </c>
      <c r="V148" s="7" t="s">
        <v>58</v>
      </c>
      <c r="W148" s="7" t="s">
        <v>134</v>
      </c>
      <c r="X148" s="7" t="s">
        <v>305</v>
      </c>
      <c r="Y148" s="7" t="s">
        <v>50</v>
      </c>
      <c r="AA148" s="7">
        <v>0.29</v>
      </c>
      <c r="AB148" s="7">
        <v>0.5</v>
      </c>
      <c r="AC148" s="7">
        <v>0.01</v>
      </c>
      <c r="AD148" s="7">
        <v>0.001</v>
      </c>
      <c r="AE148" s="7">
        <v>0.301</v>
      </c>
      <c r="AF148" s="7">
        <v>0.14</v>
      </c>
      <c r="AG148" s="7">
        <v>0.52</v>
      </c>
      <c r="AH148" s="7">
        <v>0.51</v>
      </c>
      <c r="AI148" s="7">
        <v>0.29</v>
      </c>
      <c r="AJ148" s="7">
        <v>0.004</v>
      </c>
      <c r="AK148" s="7">
        <v>0.037</v>
      </c>
      <c r="AL148" s="7">
        <v>0.005</v>
      </c>
      <c r="AM148" s="7">
        <v>0.001</v>
      </c>
      <c r="AN148" s="7">
        <v>0.003</v>
      </c>
      <c r="AO148" s="7">
        <v>0.0006</v>
      </c>
      <c r="AP148" s="7">
        <v>0.0068</v>
      </c>
      <c r="AQ148" s="7">
        <v>0.0021</v>
      </c>
    </row>
    <row r="149" ht="30" customHeight="1">
      <c r="A149" s="6">
        <v>5606556</v>
      </c>
      <c r="C149" s="7" t="s">
        <v>43</v>
      </c>
      <c r="D149" s="7" t="s">
        <v>44</v>
      </c>
      <c r="E149" s="6">
        <v>0.381</v>
      </c>
      <c r="F149" s="7" t="s">
        <v>45</v>
      </c>
      <c r="G149" s="8">
        <v>48.73</v>
      </c>
      <c r="H149" s="9">
        <v>47380</v>
      </c>
      <c r="I149" s="10">
        <f t="shared" si="0"/>
        <v>23.69</v>
      </c>
      <c r="J149" s="10">
        <f t="shared" si="1"/>
        <v>473.8</v>
      </c>
      <c r="K149" s="7" t="s">
        <v>243</v>
      </c>
      <c r="V149" s="7" t="s">
        <v>47</v>
      </c>
      <c r="W149" s="7" t="s">
        <v>151</v>
      </c>
      <c r="X149" s="7" t="s">
        <v>49</v>
      </c>
      <c r="Y149" s="7" t="s">
        <v>329</v>
      </c>
      <c r="AA149" s="7">
        <v>0.29</v>
      </c>
      <c r="AB149" s="7">
        <v>0.5</v>
      </c>
      <c r="AC149" s="7">
        <v>0.01</v>
      </c>
      <c r="AD149" s="7">
        <v>0.001</v>
      </c>
      <c r="AE149" s="7">
        <v>0.301</v>
      </c>
      <c r="AF149" s="7">
        <v>0.14</v>
      </c>
      <c r="AG149" s="7">
        <v>0.52</v>
      </c>
      <c r="AH149" s="7">
        <v>0.51</v>
      </c>
      <c r="AI149" s="7">
        <v>0.29</v>
      </c>
      <c r="AJ149" s="7">
        <v>0.004</v>
      </c>
      <c r="AK149" s="7">
        <v>0.037</v>
      </c>
      <c r="AL149" s="7">
        <v>0.005</v>
      </c>
      <c r="AM149" s="7">
        <v>0.001</v>
      </c>
      <c r="AN149" s="7">
        <v>0.003</v>
      </c>
      <c r="AO149" s="7">
        <v>0.0006</v>
      </c>
      <c r="AP149" s="7">
        <v>0.0068</v>
      </c>
      <c r="AQ149" s="7">
        <v>0.0021</v>
      </c>
    </row>
    <row r="150" ht="30" customHeight="1">
      <c r="A150" s="6">
        <v>5523151</v>
      </c>
      <c r="C150" s="7" t="s">
        <v>43</v>
      </c>
      <c r="D150" s="7" t="s">
        <v>44</v>
      </c>
      <c r="E150" s="6">
        <v>0.44</v>
      </c>
      <c r="F150" s="7" t="s">
        <v>63</v>
      </c>
      <c r="G150" s="8">
        <v>62.62</v>
      </c>
      <c r="H150" s="9">
        <v>49000</v>
      </c>
      <c r="I150" s="10">
        <f t="shared" si="0"/>
        <v>24.5</v>
      </c>
      <c r="J150" s="10">
        <f t="shared" si="1"/>
        <v>490</v>
      </c>
      <c r="K150" s="7" t="s">
        <v>275</v>
      </c>
      <c r="V150" s="7" t="s">
        <v>47</v>
      </c>
      <c r="W150" s="7" t="s">
        <v>49</v>
      </c>
      <c r="X150" s="7" t="s">
        <v>330</v>
      </c>
      <c r="Y150" s="7" t="s">
        <v>119</v>
      </c>
      <c r="AA150" s="7">
        <v>0.05</v>
      </c>
      <c r="AB150" s="7">
        <v>0.98</v>
      </c>
      <c r="AC150" s="7">
        <v>0.01</v>
      </c>
      <c r="AD150" s="7">
        <v>0.002</v>
      </c>
      <c r="AE150" s="7">
        <v>0.207</v>
      </c>
      <c r="AF150" s="7">
        <v>0.11</v>
      </c>
      <c r="AG150" s="7">
        <v>0.03</v>
      </c>
      <c r="AH150" s="7">
        <v>0.04</v>
      </c>
      <c r="AI150" s="7">
        <v>0.02</v>
      </c>
      <c r="AJ150" s="7">
        <v>0.003</v>
      </c>
      <c r="AK150" s="7">
        <v>0.029</v>
      </c>
      <c r="AL150" s="7">
        <v>0.005</v>
      </c>
      <c r="AM150" s="7">
        <v>0.023</v>
      </c>
      <c r="AN150" s="7">
        <v>0.01</v>
      </c>
      <c r="AO150" s="7">
        <v>0.0005</v>
      </c>
      <c r="AP150" s="7">
        <v>0.0055</v>
      </c>
      <c r="AQ150" s="7">
        <v>0.0023</v>
      </c>
    </row>
    <row r="151" ht="30" customHeight="1">
      <c r="A151" s="6">
        <v>5689706</v>
      </c>
      <c r="C151" s="7" t="s">
        <v>43</v>
      </c>
      <c r="D151" s="7" t="s">
        <v>44</v>
      </c>
      <c r="E151" s="6">
        <v>0.446</v>
      </c>
      <c r="F151" s="7" t="s">
        <v>63</v>
      </c>
      <c r="G151" s="8">
        <v>60.5</v>
      </c>
      <c r="H151" s="9">
        <v>76760</v>
      </c>
      <c r="I151" s="10">
        <f t="shared" si="0"/>
        <v>38.38</v>
      </c>
      <c r="J151" s="10">
        <f t="shared" si="1"/>
        <v>767.6</v>
      </c>
      <c r="K151" s="7" t="s">
        <v>275</v>
      </c>
      <c r="V151" s="7" t="s">
        <v>47</v>
      </c>
      <c r="W151" s="7" t="s">
        <v>273</v>
      </c>
      <c r="X151" s="7" t="s">
        <v>239</v>
      </c>
      <c r="Y151" s="7" t="s">
        <v>187</v>
      </c>
      <c r="AA151" s="7">
        <v>0.05</v>
      </c>
      <c r="AB151" s="7">
        <v>0.92</v>
      </c>
      <c r="AC151" s="7">
        <v>0.011</v>
      </c>
      <c r="AD151" s="7">
        <v>0.001</v>
      </c>
      <c r="AE151" s="7">
        <v>0.187</v>
      </c>
      <c r="AF151" s="7">
        <v>0.11</v>
      </c>
      <c r="AG151" s="7">
        <v>0.03</v>
      </c>
      <c r="AH151" s="7">
        <v>0.06</v>
      </c>
      <c r="AI151" s="7">
        <v>0.01</v>
      </c>
      <c r="AJ151" s="7">
        <v>0.002</v>
      </c>
      <c r="AK151" s="7">
        <v>0.023</v>
      </c>
      <c r="AL151" s="7">
        <v>0.005</v>
      </c>
      <c r="AM151" s="7">
        <v>0.023</v>
      </c>
      <c r="AN151" s="7">
        <v>0.011</v>
      </c>
      <c r="AO151" s="7">
        <v>0.0002</v>
      </c>
      <c r="AP151" s="7">
        <v>0.0056</v>
      </c>
      <c r="AQ151" s="7">
        <v>0.0025</v>
      </c>
    </row>
    <row r="152" ht="15" customHeight="1">
      <c r="A152" s="6">
        <v>5681990</v>
      </c>
      <c r="C152" s="7" t="s">
        <v>51</v>
      </c>
      <c r="D152" s="7" t="s">
        <v>44</v>
      </c>
      <c r="E152" s="6">
        <v>0.446</v>
      </c>
      <c r="F152" s="7" t="s">
        <v>63</v>
      </c>
      <c r="G152" s="8">
        <v>61.32</v>
      </c>
      <c r="H152" s="9">
        <v>80480</v>
      </c>
      <c r="I152" s="10">
        <f t="shared" si="0"/>
        <v>40.24</v>
      </c>
      <c r="J152" s="10">
        <f t="shared" si="1"/>
        <v>804.8</v>
      </c>
      <c r="K152" s="7" t="s">
        <v>303</v>
      </c>
      <c r="V152" s="7" t="s">
        <v>47</v>
      </c>
      <c r="W152" s="7" t="s">
        <v>273</v>
      </c>
      <c r="X152" s="7" t="s">
        <v>239</v>
      </c>
      <c r="AA152" s="7">
        <v>0.19</v>
      </c>
      <c r="AB152" s="7">
        <v>0.39</v>
      </c>
      <c r="AC152" s="7">
        <v>0.013</v>
      </c>
      <c r="AD152" s="7">
        <v>0.001</v>
      </c>
      <c r="AE152" s="7">
        <v>0.021</v>
      </c>
      <c r="AF152" s="7">
        <v>0.11</v>
      </c>
      <c r="AG152" s="7">
        <v>0.03</v>
      </c>
      <c r="AH152" s="7">
        <v>0.08</v>
      </c>
      <c r="AI152" s="7">
        <v>0.01</v>
      </c>
      <c r="AJ152" s="7">
        <v>0.003</v>
      </c>
      <c r="AK152" s="7">
        <v>0.031</v>
      </c>
      <c r="AL152" s="7">
        <v>0.001</v>
      </c>
      <c r="AM152" s="7">
        <v>0.007</v>
      </c>
      <c r="AN152" s="7">
        <v>0.001</v>
      </c>
      <c r="AO152" s="7">
        <v>0.0001</v>
      </c>
      <c r="AP152" s="7">
        <v>0.0057</v>
      </c>
      <c r="AQ152" s="7">
        <v>0.0014</v>
      </c>
    </row>
    <row r="153" ht="30" customHeight="1">
      <c r="A153" s="6">
        <v>5684493</v>
      </c>
      <c r="C153" s="7" t="s">
        <v>51</v>
      </c>
      <c r="D153" s="7" t="s">
        <v>44</v>
      </c>
      <c r="E153" s="6">
        <v>0.454</v>
      </c>
      <c r="F153" s="7" t="s">
        <v>45</v>
      </c>
      <c r="G153" s="8">
        <v>61.53</v>
      </c>
      <c r="H153" s="9">
        <v>73660</v>
      </c>
      <c r="I153" s="10">
        <f t="shared" si="0"/>
        <v>36.83</v>
      </c>
      <c r="J153" s="10">
        <f t="shared" si="1"/>
        <v>736.6</v>
      </c>
      <c r="K153" s="7" t="s">
        <v>284</v>
      </c>
      <c r="V153" s="7" t="s">
        <v>47</v>
      </c>
      <c r="W153" s="7" t="s">
        <v>260</v>
      </c>
      <c r="X153" s="7" t="s">
        <v>59</v>
      </c>
      <c r="Y153" s="7" t="s">
        <v>189</v>
      </c>
      <c r="Z153" s="7" t="s">
        <v>331</v>
      </c>
      <c r="AA153" s="7">
        <v>0.06</v>
      </c>
      <c r="AB153" s="7">
        <v>0.59</v>
      </c>
      <c r="AC153" s="7">
        <v>0.01</v>
      </c>
      <c r="AD153" s="7">
        <v>0.001</v>
      </c>
      <c r="AE153" s="7">
        <v>0.208</v>
      </c>
      <c r="AF153" s="7">
        <v>0.12</v>
      </c>
      <c r="AG153" s="7">
        <v>0.03</v>
      </c>
      <c r="AH153" s="7">
        <v>0.05</v>
      </c>
      <c r="AI153" s="7">
        <v>0.01</v>
      </c>
      <c r="AJ153" s="7">
        <v>0.003</v>
      </c>
      <c r="AK153" s="7">
        <v>0.03</v>
      </c>
      <c r="AL153" s="7">
        <v>0.003</v>
      </c>
      <c r="AM153" s="7">
        <v>0.01</v>
      </c>
      <c r="AN153" s="7">
        <v>0.002</v>
      </c>
      <c r="AO153" s="7">
        <v>0.0005</v>
      </c>
      <c r="AP153" s="7">
        <v>0.0048</v>
      </c>
      <c r="AQ153" s="7">
        <v>0.0026</v>
      </c>
    </row>
    <row r="154" ht="30" customHeight="1">
      <c r="A154" s="6">
        <v>5684494</v>
      </c>
      <c r="C154" s="7" t="s">
        <v>51</v>
      </c>
      <c r="D154" s="7" t="s">
        <v>44</v>
      </c>
      <c r="E154" s="6">
        <v>0.454</v>
      </c>
      <c r="F154" s="7" t="s">
        <v>45</v>
      </c>
      <c r="G154" s="8">
        <v>61.79</v>
      </c>
      <c r="H154" s="9">
        <v>74020</v>
      </c>
      <c r="I154" s="10">
        <f t="shared" si="0"/>
        <v>37.01</v>
      </c>
      <c r="J154" s="10">
        <f t="shared" si="1"/>
        <v>740.2</v>
      </c>
      <c r="K154" s="7" t="s">
        <v>284</v>
      </c>
      <c r="V154" s="7" t="s">
        <v>47</v>
      </c>
      <c r="W154" s="7" t="s">
        <v>98</v>
      </c>
      <c r="X154" s="7" t="s">
        <v>134</v>
      </c>
      <c r="Y154" s="7" t="s">
        <v>50</v>
      </c>
      <c r="Z154" s="7" t="s">
        <v>332</v>
      </c>
      <c r="AA154" s="7">
        <v>0.06</v>
      </c>
      <c r="AB154" s="7">
        <v>0.58</v>
      </c>
      <c r="AC154" s="7">
        <v>0.009</v>
      </c>
      <c r="AD154" s="7">
        <v>0.004</v>
      </c>
      <c r="AE154" s="7">
        <v>0.229</v>
      </c>
      <c r="AF154" s="7">
        <v>0.11</v>
      </c>
      <c r="AG154" s="7">
        <v>0.03</v>
      </c>
      <c r="AH154" s="7">
        <v>0.05</v>
      </c>
      <c r="AI154" s="7">
        <v>0.01</v>
      </c>
      <c r="AJ154" s="7">
        <v>0.003</v>
      </c>
      <c r="AK154" s="7">
        <v>0.039</v>
      </c>
      <c r="AL154" s="7">
        <v>0.003</v>
      </c>
      <c r="AM154" s="7">
        <v>0.009</v>
      </c>
      <c r="AN154" s="7">
        <v>0.002</v>
      </c>
      <c r="AO154" s="7">
        <v>0.0005</v>
      </c>
      <c r="AP154" s="7">
        <v>0.0062</v>
      </c>
      <c r="AQ154" s="7">
        <v>0.0019</v>
      </c>
    </row>
    <row r="155" ht="30" customHeight="1">
      <c r="A155" s="6">
        <v>5684496</v>
      </c>
      <c r="C155" s="7" t="s">
        <v>51</v>
      </c>
      <c r="D155" s="7" t="s">
        <v>44</v>
      </c>
      <c r="E155" s="6">
        <v>0.454</v>
      </c>
      <c r="F155" s="7" t="s">
        <v>45</v>
      </c>
      <c r="G155" s="8">
        <v>62.07</v>
      </c>
      <c r="H155" s="9">
        <v>74660</v>
      </c>
      <c r="I155" s="10">
        <f t="shared" si="0"/>
        <v>37.33</v>
      </c>
      <c r="J155" s="10">
        <f t="shared" si="1"/>
        <v>746.6</v>
      </c>
      <c r="K155" s="7" t="s">
        <v>333</v>
      </c>
      <c r="V155" s="7" t="s">
        <v>47</v>
      </c>
      <c r="W155" s="7" t="s">
        <v>260</v>
      </c>
      <c r="X155" s="7" t="s">
        <v>136</v>
      </c>
      <c r="Y155" s="7" t="s">
        <v>125</v>
      </c>
      <c r="Z155" s="7" t="s">
        <v>334</v>
      </c>
      <c r="AA155" s="7">
        <v>0.05</v>
      </c>
      <c r="AB155" s="7">
        <v>0.98</v>
      </c>
      <c r="AC155" s="7">
        <v>0.023</v>
      </c>
      <c r="AD155" s="7">
        <v>0.001</v>
      </c>
      <c r="AE155" s="7">
        <v>0.314</v>
      </c>
      <c r="AF155" s="7">
        <v>0.34</v>
      </c>
      <c r="AG155" s="7">
        <v>0.03</v>
      </c>
      <c r="AH155" s="7">
        <v>0.43</v>
      </c>
      <c r="AI155" s="7">
        <v>0.01</v>
      </c>
      <c r="AJ155" s="7">
        <v>0.002</v>
      </c>
      <c r="AK155" s="7">
        <v>0.026</v>
      </c>
      <c r="AL155" s="7">
        <v>0.028</v>
      </c>
      <c r="AM155" s="7">
        <v>0.014</v>
      </c>
      <c r="AN155" s="7">
        <v>0.011</v>
      </c>
      <c r="AO155" s="7">
        <v>0.0002</v>
      </c>
      <c r="AP155" s="7">
        <v>0.0062</v>
      </c>
      <c r="AQ155" s="7">
        <v>0.0009</v>
      </c>
    </row>
    <row r="156" ht="30" customHeight="1">
      <c r="A156" s="6">
        <v>5697542</v>
      </c>
      <c r="C156" s="7" t="s">
        <v>51</v>
      </c>
      <c r="D156" s="7" t="s">
        <v>44</v>
      </c>
      <c r="E156" s="6">
        <v>0.481</v>
      </c>
      <c r="F156" s="7" t="s">
        <v>45</v>
      </c>
      <c r="G156" s="8">
        <v>61.47</v>
      </c>
      <c r="H156" s="9">
        <v>70420</v>
      </c>
      <c r="I156" s="10">
        <f t="shared" si="0"/>
        <v>35.21</v>
      </c>
      <c r="J156" s="10">
        <f t="shared" si="1"/>
        <v>704.2</v>
      </c>
      <c r="K156" s="7" t="s">
        <v>335</v>
      </c>
      <c r="V156" s="7" t="s">
        <v>47</v>
      </c>
      <c r="W156" s="7" t="s">
        <v>98</v>
      </c>
      <c r="X156" s="7" t="s">
        <v>148</v>
      </c>
      <c r="Y156" s="7" t="s">
        <v>285</v>
      </c>
      <c r="Z156" s="7" t="s">
        <v>336</v>
      </c>
      <c r="AA156" s="7">
        <v>0.04</v>
      </c>
      <c r="AB156" s="7">
        <v>1.34</v>
      </c>
      <c r="AC156" s="7">
        <v>0.01</v>
      </c>
      <c r="AD156" s="7">
        <v>0.001</v>
      </c>
      <c r="AE156" s="7">
        <v>0.182</v>
      </c>
      <c r="AF156" s="7">
        <v>0.11</v>
      </c>
      <c r="AG156" s="7">
        <v>0.11</v>
      </c>
      <c r="AH156" s="7">
        <v>0.12</v>
      </c>
      <c r="AI156" s="7">
        <v>0.18</v>
      </c>
      <c r="AJ156" s="7">
        <v>0.002</v>
      </c>
      <c r="AK156" s="7">
        <v>0.028</v>
      </c>
      <c r="AL156" s="7">
        <v>0.007</v>
      </c>
      <c r="AM156" s="7">
        <v>0.065</v>
      </c>
      <c r="AN156" s="7">
        <v>0.011</v>
      </c>
      <c r="AO156" s="7">
        <v>0.0002</v>
      </c>
      <c r="AP156" s="7">
        <v>0.006</v>
      </c>
      <c r="AQ156" s="7">
        <v>0.0017</v>
      </c>
    </row>
    <row r="157" ht="30" customHeight="1">
      <c r="A157" s="6">
        <v>5161996</v>
      </c>
      <c r="C157" s="7" t="s">
        <v>51</v>
      </c>
      <c r="D157" s="7" t="s">
        <v>44</v>
      </c>
      <c r="E157" s="6">
        <v>0.481</v>
      </c>
      <c r="F157" s="7" t="s">
        <v>45</v>
      </c>
      <c r="G157" s="8">
        <v>63.54</v>
      </c>
      <c r="H157" s="9">
        <v>79160</v>
      </c>
      <c r="I157" s="10">
        <f t="shared" si="0"/>
        <v>39.58</v>
      </c>
      <c r="J157" s="10">
        <f t="shared" si="1"/>
        <v>791.6</v>
      </c>
      <c r="K157" s="7" t="s">
        <v>269</v>
      </c>
      <c r="V157" s="7" t="s">
        <v>47</v>
      </c>
      <c r="W157" s="7" t="s">
        <v>337</v>
      </c>
      <c r="X157" s="7" t="s">
        <v>109</v>
      </c>
      <c r="Y157" s="7" t="s">
        <v>119</v>
      </c>
      <c r="Z157" s="7" t="s">
        <v>338</v>
      </c>
      <c r="AA157" s="7">
        <v>0.05</v>
      </c>
      <c r="AB157" s="7">
        <v>1</v>
      </c>
      <c r="AC157" s="7">
        <v>0.013</v>
      </c>
      <c r="AD157" s="7">
        <v>0.003</v>
      </c>
      <c r="AE157" s="7">
        <v>0.171</v>
      </c>
      <c r="AF157" s="7">
        <v>0.08</v>
      </c>
      <c r="AG157" s="7">
        <v>0.02</v>
      </c>
      <c r="AH157" s="7">
        <v>0.04</v>
      </c>
      <c r="AI157" s="7">
        <v>0.01</v>
      </c>
      <c r="AJ157" s="7">
        <v>0.002</v>
      </c>
      <c r="AK157" s="7">
        <v>0.028</v>
      </c>
      <c r="AL157" s="7">
        <v>0.006</v>
      </c>
      <c r="AM157" s="7">
        <v>0.014</v>
      </c>
      <c r="AN157" s="7">
        <v>0.01</v>
      </c>
      <c r="AO157" s="7">
        <v>0.0001</v>
      </c>
      <c r="AP157" s="7">
        <v>0.0057</v>
      </c>
      <c r="AQ157" s="7">
        <v>0.0019</v>
      </c>
    </row>
    <row r="158" ht="15" customHeight="1">
      <c r="A158" s="6">
        <v>5674234</v>
      </c>
      <c r="C158" s="7" t="s">
        <v>51</v>
      </c>
      <c r="D158" s="7" t="s">
        <v>44</v>
      </c>
      <c r="E158" s="6">
        <v>0.532</v>
      </c>
      <c r="F158" s="7" t="s">
        <v>63</v>
      </c>
      <c r="G158" s="8">
        <v>67.04</v>
      </c>
      <c r="H158" s="9">
        <v>76280</v>
      </c>
      <c r="I158" s="10">
        <f t="shared" si="0"/>
        <v>38.14</v>
      </c>
      <c r="J158" s="10">
        <f t="shared" si="1"/>
        <v>762.8</v>
      </c>
      <c r="K158" s="7" t="s">
        <v>303</v>
      </c>
      <c r="L158" s="7">
        <v>56.5</v>
      </c>
      <c r="M158" s="7">
        <v>74.5</v>
      </c>
      <c r="N158" s="7">
        <v>33.2</v>
      </c>
      <c r="O158" s="7">
        <v>85</v>
      </c>
      <c r="V158" s="7" t="s">
        <v>52</v>
      </c>
      <c r="W158" s="7" t="s">
        <v>339</v>
      </c>
      <c r="X158" s="7" t="s">
        <v>118</v>
      </c>
      <c r="Y158" s="7" t="s">
        <v>340</v>
      </c>
      <c r="Z158" s="7" t="s">
        <v>341</v>
      </c>
      <c r="AA158" s="7">
        <v>0.2</v>
      </c>
      <c r="AB158" s="7">
        <v>0.36</v>
      </c>
      <c r="AC158" s="7">
        <v>0.011</v>
      </c>
      <c r="AD158" s="7">
        <v>0.004</v>
      </c>
      <c r="AE158" s="7">
        <v>0.031</v>
      </c>
      <c r="AF158" s="7">
        <v>0.11</v>
      </c>
      <c r="AG158" s="7">
        <v>0.03</v>
      </c>
      <c r="AH158" s="7">
        <v>0.04</v>
      </c>
      <c r="AI158" s="7">
        <v>0.01</v>
      </c>
      <c r="AJ158" s="7">
        <v>0.004</v>
      </c>
      <c r="AK158" s="7">
        <v>0.02</v>
      </c>
      <c r="AL158" s="7">
        <v>0.002</v>
      </c>
      <c r="AM158" s="7">
        <v>0.006</v>
      </c>
      <c r="AN158" s="7">
        <v>0.001</v>
      </c>
      <c r="AO158" s="7">
        <v>0.0003</v>
      </c>
      <c r="AP158" s="7">
        <v>0.0053</v>
      </c>
      <c r="AQ158" s="7">
        <v>0.0021</v>
      </c>
    </row>
    <row r="159" ht="30" customHeight="1">
      <c r="A159" s="6">
        <v>5675828</v>
      </c>
      <c r="C159" s="7" t="s">
        <v>51</v>
      </c>
      <c r="D159" s="7" t="s">
        <v>44</v>
      </c>
      <c r="E159" s="6">
        <v>0.555</v>
      </c>
      <c r="F159" s="7" t="s">
        <v>63</v>
      </c>
      <c r="G159" s="8">
        <v>40.51</v>
      </c>
      <c r="H159" s="9">
        <v>27420</v>
      </c>
      <c r="I159" s="10">
        <f t="shared" si="0"/>
        <v>13.71</v>
      </c>
      <c r="J159" s="10">
        <f t="shared" si="1"/>
        <v>274.2</v>
      </c>
      <c r="K159" s="7" t="s">
        <v>303</v>
      </c>
      <c r="V159" s="7" t="s">
        <v>47</v>
      </c>
      <c r="W159" s="7" t="s">
        <v>226</v>
      </c>
      <c r="X159" s="7" t="s">
        <v>148</v>
      </c>
      <c r="Y159" s="7" t="s">
        <v>50</v>
      </c>
      <c r="AA159" s="7">
        <v>0.2</v>
      </c>
      <c r="AB159" s="7">
        <v>0.41</v>
      </c>
      <c r="AC159" s="7">
        <v>0.01</v>
      </c>
      <c r="AD159" s="7">
        <v>0.001</v>
      </c>
      <c r="AE159" s="7">
        <v>0.033</v>
      </c>
      <c r="AF159" s="7">
        <v>0.11</v>
      </c>
      <c r="AG159" s="7">
        <v>0.03</v>
      </c>
      <c r="AH159" s="7">
        <v>0.05</v>
      </c>
      <c r="AI159" s="7">
        <v>0.01</v>
      </c>
      <c r="AJ159" s="7">
        <v>0.002</v>
      </c>
      <c r="AK159" s="7">
        <v>0.033</v>
      </c>
      <c r="AL159" s="7">
        <v>0.002</v>
      </c>
      <c r="AM159" s="7">
        <v>0.006</v>
      </c>
      <c r="AN159" s="7">
        <v>0.001</v>
      </c>
      <c r="AO159" s="7">
        <v>0.0002</v>
      </c>
      <c r="AP159" s="7">
        <v>0.0055</v>
      </c>
      <c r="AQ159" s="7">
        <v>0.0022</v>
      </c>
    </row>
    <row r="160" ht="30" customHeight="1">
      <c r="A160" s="6">
        <v>5626519</v>
      </c>
      <c r="C160" s="7" t="s">
        <v>43</v>
      </c>
      <c r="D160" s="7" t="s">
        <v>44</v>
      </c>
      <c r="E160" s="6">
        <v>0.555</v>
      </c>
      <c r="F160" s="7" t="s">
        <v>63</v>
      </c>
      <c r="G160" s="8">
        <v>40.59</v>
      </c>
      <c r="H160" s="9">
        <v>31360</v>
      </c>
      <c r="I160" s="10">
        <f t="shared" si="0"/>
        <v>15.68</v>
      </c>
      <c r="J160" s="10">
        <f t="shared" si="1"/>
        <v>313.6</v>
      </c>
      <c r="K160" s="7" t="s">
        <v>303</v>
      </c>
      <c r="V160" s="7" t="s">
        <v>47</v>
      </c>
      <c r="W160" s="7" t="s">
        <v>215</v>
      </c>
      <c r="X160" s="7" t="s">
        <v>216</v>
      </c>
      <c r="Y160" s="7" t="s">
        <v>342</v>
      </c>
      <c r="Z160" s="7" t="s">
        <v>343</v>
      </c>
      <c r="AA160" s="7">
        <v>0.2</v>
      </c>
      <c r="AB160" s="7">
        <v>0.41</v>
      </c>
      <c r="AC160" s="7">
        <v>0.007</v>
      </c>
      <c r="AD160" s="7">
        <v>0.002</v>
      </c>
      <c r="AE160" s="7">
        <v>0.03</v>
      </c>
      <c r="AF160" s="7">
        <v>0.12</v>
      </c>
      <c r="AG160" s="7">
        <v>0.03</v>
      </c>
      <c r="AH160" s="7">
        <v>0.05</v>
      </c>
      <c r="AI160" s="7">
        <v>0.01</v>
      </c>
      <c r="AJ160" s="7">
        <v>0.003</v>
      </c>
      <c r="AK160" s="7">
        <v>0.037</v>
      </c>
      <c r="AL160" s="7">
        <v>0.001</v>
      </c>
      <c r="AM160" s="7">
        <v>0.006</v>
      </c>
      <c r="AN160" s="7">
        <v>0.001</v>
      </c>
      <c r="AO160" s="7">
        <v>0.0001</v>
      </c>
      <c r="AP160" s="7">
        <v>0.005</v>
      </c>
      <c r="AQ160" s="7">
        <v>0.0013</v>
      </c>
    </row>
    <row r="161" ht="30" customHeight="1">
      <c r="A161" s="6">
        <v>5523509</v>
      </c>
      <c r="C161" s="7" t="s">
        <v>43</v>
      </c>
      <c r="D161" s="7" t="s">
        <v>44</v>
      </c>
      <c r="E161" s="6">
        <v>0.591</v>
      </c>
      <c r="F161" s="7" t="s">
        <v>45</v>
      </c>
      <c r="G161" s="8">
        <v>62.15</v>
      </c>
      <c r="H161" s="9">
        <v>66220</v>
      </c>
      <c r="I161" s="10">
        <f t="shared" si="0"/>
        <v>33.11</v>
      </c>
      <c r="J161" s="10">
        <f t="shared" si="1"/>
        <v>662.2</v>
      </c>
      <c r="K161" s="7" t="s">
        <v>275</v>
      </c>
      <c r="V161" s="7" t="s">
        <v>47</v>
      </c>
      <c r="W161" s="7" t="s">
        <v>294</v>
      </c>
      <c r="X161" s="7" t="s">
        <v>337</v>
      </c>
      <c r="Y161" s="7" t="s">
        <v>50</v>
      </c>
      <c r="Z161" s="7" t="s">
        <v>344</v>
      </c>
      <c r="AA161" s="7">
        <v>0.06</v>
      </c>
      <c r="AB161" s="7">
        <v>0.9</v>
      </c>
      <c r="AC161" s="7">
        <v>0.008</v>
      </c>
      <c r="AD161" s="7">
        <v>0.003</v>
      </c>
      <c r="AE161" s="7">
        <v>0.192</v>
      </c>
      <c r="AF161" s="7">
        <v>0.1</v>
      </c>
      <c r="AG161" s="7">
        <v>0.03</v>
      </c>
      <c r="AH161" s="7">
        <v>0.04</v>
      </c>
      <c r="AI161" s="7">
        <v>0.01</v>
      </c>
      <c r="AJ161" s="7">
        <v>0.002</v>
      </c>
      <c r="AK161" s="7">
        <v>0.028</v>
      </c>
      <c r="AL161" s="7">
        <v>0</v>
      </c>
      <c r="AM161" s="7">
        <v>0.023</v>
      </c>
      <c r="AN161" s="7">
        <v>0.01</v>
      </c>
      <c r="AO161" s="7">
        <v>0.0001</v>
      </c>
      <c r="AP161" s="7">
        <v>0.0058</v>
      </c>
      <c r="AQ161" s="7">
        <v>0.0015</v>
      </c>
    </row>
    <row r="162" ht="30" customHeight="1">
      <c r="A162" s="6">
        <v>5488602</v>
      </c>
      <c r="C162" s="7" t="s">
        <v>51</v>
      </c>
      <c r="D162" s="7" t="s">
        <v>44</v>
      </c>
      <c r="E162" s="6">
        <v>0.591</v>
      </c>
      <c r="F162" s="7" t="s">
        <v>63</v>
      </c>
      <c r="G162" s="8">
        <v>63.4</v>
      </c>
      <c r="H162" s="9">
        <v>62120</v>
      </c>
      <c r="I162" s="10">
        <f t="shared" si="0"/>
        <v>31.06</v>
      </c>
      <c r="J162" s="10">
        <f t="shared" si="1"/>
        <v>621.2</v>
      </c>
      <c r="K162" s="7" t="s">
        <v>269</v>
      </c>
      <c r="L162" s="7">
        <v>72.4</v>
      </c>
      <c r="M162" s="7">
        <v>86.3</v>
      </c>
      <c r="N162" s="7">
        <v>35.3</v>
      </c>
      <c r="O162" s="7">
        <v>96</v>
      </c>
      <c r="V162" s="7" t="s">
        <v>47</v>
      </c>
      <c r="W162" s="7" t="s">
        <v>98</v>
      </c>
      <c r="X162" s="7" t="s">
        <v>345</v>
      </c>
      <c r="Y162" s="7" t="s">
        <v>346</v>
      </c>
      <c r="Z162" s="7" t="s">
        <v>347</v>
      </c>
      <c r="AA162" s="7">
        <v>0.05</v>
      </c>
      <c r="AB162" s="7">
        <v>0.98</v>
      </c>
      <c r="AC162" s="7">
        <v>0.011</v>
      </c>
      <c r="AD162" s="7">
        <v>0.001</v>
      </c>
      <c r="AE162" s="7">
        <v>0.164</v>
      </c>
      <c r="AF162" s="7">
        <v>0.11</v>
      </c>
      <c r="AG162" s="7">
        <v>0.03</v>
      </c>
      <c r="AH162" s="7">
        <v>0.06</v>
      </c>
      <c r="AI162" s="7">
        <v>0.02</v>
      </c>
      <c r="AJ162" s="7">
        <v>0.003</v>
      </c>
      <c r="AK162" s="7">
        <v>0.032</v>
      </c>
      <c r="AL162" s="7">
        <v>0.005</v>
      </c>
      <c r="AM162" s="7">
        <v>0.012</v>
      </c>
      <c r="AN162" s="7">
        <v>0.014</v>
      </c>
      <c r="AO162" s="7">
        <v>0.0001</v>
      </c>
      <c r="AP162" s="7">
        <v>0.0057</v>
      </c>
      <c r="AQ162" s="7">
        <v>0.0034</v>
      </c>
    </row>
    <row r="163" ht="45" customHeight="1">
      <c r="A163" s="6">
        <v>5496450</v>
      </c>
      <c r="C163" s="7" t="s">
        <v>51</v>
      </c>
      <c r="D163" s="7" t="s">
        <v>44</v>
      </c>
      <c r="E163" s="6">
        <v>0.599</v>
      </c>
      <c r="F163" s="7" t="s">
        <v>45</v>
      </c>
      <c r="G163" s="8">
        <v>62.96</v>
      </c>
      <c r="H163" s="9">
        <v>64620</v>
      </c>
      <c r="I163" s="10">
        <f t="shared" si="0"/>
        <v>32.31</v>
      </c>
      <c r="J163" s="10">
        <f t="shared" si="1"/>
        <v>646.2</v>
      </c>
      <c r="K163" s="7" t="s">
        <v>269</v>
      </c>
      <c r="L163" s="7">
        <v>60.9</v>
      </c>
      <c r="M163" s="7">
        <v>83</v>
      </c>
      <c r="N163" s="7">
        <v>30.7</v>
      </c>
      <c r="O163" s="7">
        <v>93</v>
      </c>
      <c r="V163" s="7" t="s">
        <v>47</v>
      </c>
      <c r="W163" s="7" t="s">
        <v>98</v>
      </c>
      <c r="X163" s="7" t="s">
        <v>348</v>
      </c>
      <c r="Y163" s="7" t="s">
        <v>349</v>
      </c>
      <c r="Z163" s="7" t="s">
        <v>350</v>
      </c>
      <c r="AA163" s="7">
        <v>0.05</v>
      </c>
      <c r="AB163" s="7">
        <v>0.99</v>
      </c>
      <c r="AC163" s="7">
        <v>0.009</v>
      </c>
      <c r="AD163" s="7">
        <v>0.001</v>
      </c>
      <c r="AE163" s="7">
        <v>0.172</v>
      </c>
      <c r="AF163" s="7">
        <v>0.13</v>
      </c>
      <c r="AG163" s="7">
        <v>0.03</v>
      </c>
      <c r="AH163" s="7">
        <v>0.05</v>
      </c>
      <c r="AI163" s="7">
        <v>0.01</v>
      </c>
      <c r="AJ163" s="7">
        <v>0.004</v>
      </c>
      <c r="AK163" s="7">
        <v>0.025</v>
      </c>
      <c r="AL163" s="7">
        <v>0.004</v>
      </c>
      <c r="AM163" s="7">
        <v>0.014</v>
      </c>
      <c r="AN163" s="7">
        <v>0.013</v>
      </c>
      <c r="AO163" s="7">
        <v>0.0001</v>
      </c>
      <c r="AP163" s="7">
        <v>0.0064</v>
      </c>
      <c r="AQ163" s="7">
        <v>0.0028</v>
      </c>
    </row>
    <row r="164" ht="45" customHeight="1">
      <c r="A164" s="6">
        <v>5658139</v>
      </c>
      <c r="C164" s="7" t="s">
        <v>43</v>
      </c>
      <c r="D164" s="7" t="s">
        <v>44</v>
      </c>
      <c r="E164" s="6">
        <v>0.601</v>
      </c>
      <c r="F164" s="7" t="s">
        <v>45</v>
      </c>
      <c r="G164" s="8">
        <v>64.05</v>
      </c>
      <c r="H164" s="9">
        <v>75161</v>
      </c>
      <c r="I164" s="10">
        <f t="shared" si="0"/>
        <v>37.5805</v>
      </c>
      <c r="J164" s="10">
        <f t="shared" si="1"/>
        <v>751.61</v>
      </c>
      <c r="K164" s="7" t="s">
        <v>351</v>
      </c>
      <c r="V164" s="7" t="s">
        <v>47</v>
      </c>
      <c r="W164" s="7" t="s">
        <v>352</v>
      </c>
      <c r="X164" s="7" t="s">
        <v>273</v>
      </c>
      <c r="Y164" s="7" t="s">
        <v>324</v>
      </c>
      <c r="Z164" s="7" t="s">
        <v>353</v>
      </c>
      <c r="AA164" s="7">
        <v>0.04</v>
      </c>
      <c r="AB164" s="7">
        <v>0.96</v>
      </c>
      <c r="AC164" s="7">
        <v>0.013</v>
      </c>
      <c r="AD164" s="7">
        <v>0.002</v>
      </c>
      <c r="AE164" s="7">
        <v>0.026</v>
      </c>
      <c r="AF164" s="7">
        <v>0.13</v>
      </c>
      <c r="AG164" s="7">
        <v>0.04</v>
      </c>
      <c r="AH164" s="7">
        <v>0.06</v>
      </c>
      <c r="AI164" s="7">
        <v>0.02</v>
      </c>
      <c r="AJ164" s="7">
        <v>0.003</v>
      </c>
      <c r="AK164" s="7">
        <v>0.034</v>
      </c>
      <c r="AL164" s="7">
        <v>0.004</v>
      </c>
      <c r="AM164" s="7">
        <v>0.025</v>
      </c>
      <c r="AN164" s="7">
        <v>0.011</v>
      </c>
      <c r="AO164" s="7">
        <v>0.0003</v>
      </c>
      <c r="AP164" s="7">
        <v>0.006</v>
      </c>
      <c r="AQ164" s="7">
        <v>0.0024</v>
      </c>
    </row>
    <row r="165" ht="30" customHeight="1">
      <c r="A165" s="6">
        <v>5522457</v>
      </c>
      <c r="C165" s="7" t="s">
        <v>43</v>
      </c>
      <c r="D165" s="7" t="s">
        <v>354</v>
      </c>
      <c r="E165" s="6">
        <v>0.08</v>
      </c>
      <c r="F165" s="7" t="s">
        <v>45</v>
      </c>
      <c r="G165" s="8">
        <v>47.87</v>
      </c>
      <c r="H165" s="9">
        <v>48100</v>
      </c>
      <c r="I165" s="10">
        <f t="shared" si="0"/>
        <v>24.05</v>
      </c>
      <c r="J165" s="10">
        <f t="shared" si="1"/>
        <v>481</v>
      </c>
      <c r="K165" s="7" t="s">
        <v>86</v>
      </c>
      <c r="P165" s="7">
        <v>73.1</v>
      </c>
      <c r="Q165" s="7">
        <v>83</v>
      </c>
      <c r="R165" s="7">
        <v>15.3</v>
      </c>
      <c r="S165" s="7">
        <v>90</v>
      </c>
      <c r="V165" s="7" t="s">
        <v>355</v>
      </c>
      <c r="W165" s="7" t="s">
        <v>356</v>
      </c>
      <c r="AA165" s="7">
        <v>0.05</v>
      </c>
      <c r="AB165" s="7">
        <v>0.76</v>
      </c>
      <c r="AC165" s="7">
        <v>0.008</v>
      </c>
      <c r="AD165" s="7">
        <v>0.001</v>
      </c>
      <c r="AE165" s="7">
        <v>0.2</v>
      </c>
      <c r="AF165" s="7">
        <v>0.11</v>
      </c>
      <c r="AG165" s="7">
        <v>0.03</v>
      </c>
      <c r="AH165" s="7">
        <v>0.05</v>
      </c>
      <c r="AI165" s="7">
        <v>0.01</v>
      </c>
      <c r="AJ165" s="7">
        <v>0.003</v>
      </c>
      <c r="AK165" s="7">
        <v>0.051</v>
      </c>
      <c r="AL165" s="7">
        <v>0.006</v>
      </c>
      <c r="AM165" s="7">
        <v>0.001</v>
      </c>
      <c r="AN165" s="7">
        <v>0.052</v>
      </c>
      <c r="AO165" s="7">
        <v>0.0001</v>
      </c>
      <c r="AP165" s="7">
        <v>0.0068</v>
      </c>
      <c r="AQ165" s="7">
        <v>0.0014</v>
      </c>
    </row>
    <row r="166" ht="30" customHeight="1">
      <c r="A166" s="6">
        <v>5622484.002</v>
      </c>
      <c r="C166" s="7" t="s">
        <v>51</v>
      </c>
      <c r="D166" s="7" t="s">
        <v>354</v>
      </c>
      <c r="E166" s="6">
        <v>0.088</v>
      </c>
      <c r="F166" s="7" t="s">
        <v>63</v>
      </c>
      <c r="G166" s="8">
        <v>52.05</v>
      </c>
      <c r="H166" s="9">
        <v>44660</v>
      </c>
      <c r="I166" s="10">
        <f t="shared" si="0"/>
        <v>22.33</v>
      </c>
      <c r="J166" s="10">
        <f t="shared" si="1"/>
        <v>446.6</v>
      </c>
      <c r="K166" s="7" t="s">
        <v>153</v>
      </c>
      <c r="P166" s="7">
        <v>52.9</v>
      </c>
      <c r="Q166" s="7">
        <v>70</v>
      </c>
      <c r="R166" s="7">
        <v>30.2</v>
      </c>
      <c r="S166" s="7">
        <v>80</v>
      </c>
      <c r="V166" s="7" t="s">
        <v>355</v>
      </c>
      <c r="W166" s="7" t="s">
        <v>357</v>
      </c>
      <c r="X166" s="7" t="s">
        <v>358</v>
      </c>
      <c r="Y166" s="7" t="s">
        <v>359</v>
      </c>
      <c r="AA166" s="7">
        <v>0.06</v>
      </c>
      <c r="AB166" s="7">
        <v>0.39</v>
      </c>
      <c r="AC166" s="7">
        <v>0.011</v>
      </c>
      <c r="AD166" s="7">
        <v>0.002</v>
      </c>
      <c r="AE166" s="7">
        <v>0.239</v>
      </c>
      <c r="AF166" s="7">
        <v>0.12</v>
      </c>
      <c r="AG166" s="7">
        <v>0.03</v>
      </c>
      <c r="AH166" s="7">
        <v>0.05</v>
      </c>
      <c r="AI166" s="7">
        <v>0.01</v>
      </c>
      <c r="AJ166" s="7">
        <v>0.003</v>
      </c>
      <c r="AK166" s="7">
        <v>0.031</v>
      </c>
      <c r="AL166" s="7">
        <v>0.004</v>
      </c>
      <c r="AM166" s="7">
        <v>0.011</v>
      </c>
      <c r="AN166" s="7">
        <v>0.002</v>
      </c>
      <c r="AO166" s="7">
        <v>0.0001</v>
      </c>
      <c r="AP166" s="7">
        <v>0.0047</v>
      </c>
      <c r="AQ166" s="7">
        <v>0.0014</v>
      </c>
    </row>
    <row r="167" ht="30" customHeight="1">
      <c r="A167" s="6">
        <v>5615033</v>
      </c>
      <c r="C167" s="7" t="s">
        <v>51</v>
      </c>
      <c r="D167" s="7" t="s">
        <v>354</v>
      </c>
      <c r="E167" s="6">
        <v>0.09</v>
      </c>
      <c r="F167" s="7" t="s">
        <v>63</v>
      </c>
      <c r="G167" s="8">
        <v>58.72</v>
      </c>
      <c r="H167" s="9">
        <v>41640</v>
      </c>
      <c r="I167" s="10">
        <f t="shared" si="0"/>
        <v>20.82</v>
      </c>
      <c r="J167" s="10">
        <f t="shared" si="1"/>
        <v>416.4</v>
      </c>
      <c r="K167" s="7" t="s">
        <v>195</v>
      </c>
      <c r="P167" s="7">
        <v>57.5</v>
      </c>
      <c r="Q167" s="7">
        <v>76.7</v>
      </c>
      <c r="R167" s="7">
        <v>29.2</v>
      </c>
      <c r="S167" s="7">
        <v>86</v>
      </c>
      <c r="V167" s="7" t="s">
        <v>355</v>
      </c>
      <c r="W167" s="7" t="s">
        <v>360</v>
      </c>
      <c r="X167" s="7" t="s">
        <v>361</v>
      </c>
      <c r="Z167" s="7" t="s">
        <v>362</v>
      </c>
      <c r="AA167" s="7">
        <v>0.07</v>
      </c>
      <c r="AB167" s="7">
        <v>0.62</v>
      </c>
      <c r="AC167" s="7">
        <v>0.055</v>
      </c>
      <c r="AD167" s="7">
        <v>0.002</v>
      </c>
      <c r="AE167" s="7">
        <v>0.504</v>
      </c>
      <c r="AF167" s="7">
        <v>0.15</v>
      </c>
      <c r="AG167" s="7">
        <v>0.04</v>
      </c>
      <c r="AH167" s="7">
        <v>0.07</v>
      </c>
      <c r="AI167" s="7">
        <v>0.02</v>
      </c>
      <c r="AJ167" s="7">
        <v>0.005</v>
      </c>
      <c r="AK167" s="7">
        <v>0.039</v>
      </c>
      <c r="AL167" s="7">
        <v>0.003</v>
      </c>
      <c r="AM167" s="7">
        <v>0.001</v>
      </c>
      <c r="AN167" s="7">
        <v>0.003</v>
      </c>
      <c r="AO167" s="7">
        <v>0.0002</v>
      </c>
      <c r="AP167" s="7">
        <v>0.0061</v>
      </c>
      <c r="AQ167" s="7">
        <v>0.0017</v>
      </c>
    </row>
    <row r="168" ht="30" customHeight="1">
      <c r="A168" s="6">
        <v>5611616.001</v>
      </c>
      <c r="C168" s="7" t="s">
        <v>51</v>
      </c>
      <c r="D168" s="7" t="s">
        <v>354</v>
      </c>
      <c r="E168" s="6">
        <v>0.095</v>
      </c>
      <c r="F168" s="7" t="s">
        <v>63</v>
      </c>
      <c r="G168" s="8">
        <v>48.13</v>
      </c>
      <c r="H168" s="9">
        <v>43680</v>
      </c>
      <c r="I168" s="10">
        <f t="shared" si="0"/>
        <v>21.84</v>
      </c>
      <c r="J168" s="10">
        <f t="shared" si="1"/>
        <v>436.8</v>
      </c>
      <c r="K168" s="7" t="s">
        <v>162</v>
      </c>
      <c r="V168" s="7" t="s">
        <v>355</v>
      </c>
      <c r="W168" s="7" t="s">
        <v>98</v>
      </c>
      <c r="Z168" s="7" t="s">
        <v>363</v>
      </c>
      <c r="AA168" s="7">
        <v>0.05</v>
      </c>
      <c r="AB168" s="7">
        <v>0.74</v>
      </c>
      <c r="AC168" s="7">
        <v>0.01</v>
      </c>
      <c r="AD168" s="7">
        <v>0.001</v>
      </c>
      <c r="AE168" s="7">
        <v>0.188</v>
      </c>
      <c r="AF168" s="7">
        <v>0.1</v>
      </c>
      <c r="AG168" s="7">
        <v>0.03</v>
      </c>
      <c r="AH168" s="7">
        <v>0.05</v>
      </c>
      <c r="AI168" s="7">
        <v>0.02</v>
      </c>
      <c r="AJ168" s="7">
        <v>0.003</v>
      </c>
      <c r="AK168" s="7">
        <v>0.052</v>
      </c>
      <c r="AL168" s="7">
        <v>0.007</v>
      </c>
      <c r="AM168" s="7">
        <v>0.013</v>
      </c>
      <c r="AN168" s="7">
        <v>0.09</v>
      </c>
      <c r="AO168" s="7">
        <v>0.0009</v>
      </c>
      <c r="AP168" s="7">
        <v>0.0053</v>
      </c>
      <c r="AQ168" s="7">
        <v>0.0019</v>
      </c>
    </row>
    <row r="169" ht="15" customHeight="1">
      <c r="A169" s="6">
        <v>5632706</v>
      </c>
      <c r="C169" s="7" t="s">
        <v>51</v>
      </c>
      <c r="D169" s="7" t="s">
        <v>354</v>
      </c>
      <c r="E169" s="6">
        <v>0.095</v>
      </c>
      <c r="F169" s="7" t="s">
        <v>63</v>
      </c>
      <c r="G169" s="8">
        <v>49.81</v>
      </c>
      <c r="H169" s="9">
        <v>46500</v>
      </c>
      <c r="I169" s="10">
        <f t="shared" si="0"/>
        <v>23.25</v>
      </c>
      <c r="J169" s="10">
        <f t="shared" si="1"/>
        <v>465</v>
      </c>
      <c r="K169" s="7" t="s">
        <v>57</v>
      </c>
      <c r="V169" s="7" t="s">
        <v>355</v>
      </c>
      <c r="W169" s="7" t="s">
        <v>364</v>
      </c>
      <c r="AA169" s="7">
        <v>0.07</v>
      </c>
      <c r="AB169" s="7">
        <v>1.54</v>
      </c>
      <c r="AC169" s="7">
        <v>0.008</v>
      </c>
      <c r="AD169" s="7">
        <v>0</v>
      </c>
      <c r="AE169" s="7">
        <v>0.243</v>
      </c>
      <c r="AF169" s="7">
        <v>0.11</v>
      </c>
      <c r="AG169" s="7">
        <v>0.04</v>
      </c>
      <c r="AH169" s="7">
        <v>0.58</v>
      </c>
      <c r="AI169" s="7">
        <v>0.02</v>
      </c>
      <c r="AJ169" s="7">
        <v>0.002</v>
      </c>
      <c r="AK169" s="7">
        <v>0.045</v>
      </c>
      <c r="AL169" s="7">
        <v>0.005</v>
      </c>
      <c r="AM169" s="7">
        <v>0.034</v>
      </c>
      <c r="AN169" s="7">
        <v>0.014</v>
      </c>
      <c r="AO169" s="7">
        <v>0.0004</v>
      </c>
      <c r="AP169" s="7">
        <v>0.0076</v>
      </c>
      <c r="AQ169" s="7">
        <v>0.0014</v>
      </c>
    </row>
    <row r="170" ht="30" customHeight="1">
      <c r="A170" s="6">
        <v>5692010.003</v>
      </c>
      <c r="C170" s="7" t="s">
        <v>51</v>
      </c>
      <c r="D170" s="7" t="s">
        <v>354</v>
      </c>
      <c r="E170" s="6">
        <v>0.099</v>
      </c>
      <c r="F170" s="7" t="s">
        <v>45</v>
      </c>
      <c r="G170" s="8">
        <v>26.06</v>
      </c>
      <c r="H170" s="9">
        <v>11790</v>
      </c>
      <c r="I170" s="10">
        <f t="shared" si="0"/>
        <v>5.895</v>
      </c>
      <c r="J170" s="10">
        <f t="shared" si="1"/>
        <v>117.9</v>
      </c>
      <c r="K170" s="7" t="s">
        <v>86</v>
      </c>
      <c r="L170" s="7">
        <v>70.2</v>
      </c>
      <c r="M170" s="7">
        <v>83.1</v>
      </c>
      <c r="N170" s="7">
        <v>18.5</v>
      </c>
      <c r="O170" s="7">
        <v>90</v>
      </c>
      <c r="V170" s="7" t="s">
        <v>355</v>
      </c>
      <c r="W170" s="7" t="s">
        <v>339</v>
      </c>
      <c r="X170" s="7" t="s">
        <v>365</v>
      </c>
      <c r="Y170" s="7" t="s">
        <v>115</v>
      </c>
      <c r="AA170" s="7">
        <v>0.06</v>
      </c>
      <c r="AB170" s="7">
        <v>0.73</v>
      </c>
      <c r="AC170" s="7">
        <v>0.011</v>
      </c>
      <c r="AD170" s="7">
        <v>0.001</v>
      </c>
      <c r="AE170" s="7">
        <v>0.186</v>
      </c>
      <c r="AF170" s="7">
        <v>0.12</v>
      </c>
      <c r="AG170" s="7">
        <v>0.03</v>
      </c>
      <c r="AH170" s="7">
        <v>0.06</v>
      </c>
      <c r="AI170" s="7">
        <v>0.01</v>
      </c>
      <c r="AJ170" s="7">
        <v>0.005</v>
      </c>
      <c r="AK170" s="7">
        <v>0.043</v>
      </c>
      <c r="AL170" s="7">
        <v>0.005</v>
      </c>
      <c r="AM170" s="7">
        <v>0.001</v>
      </c>
      <c r="AN170" s="7">
        <v>0.048</v>
      </c>
      <c r="AO170" s="7">
        <v>0.0001</v>
      </c>
      <c r="AP170" s="7">
        <v>0.0055</v>
      </c>
      <c r="AQ170" s="7">
        <v>0.0013</v>
      </c>
    </row>
    <row r="171" ht="30" customHeight="1">
      <c r="A171" s="6">
        <v>5692010.004</v>
      </c>
      <c r="C171" s="7" t="s">
        <v>51</v>
      </c>
      <c r="D171" s="7" t="s">
        <v>354</v>
      </c>
      <c r="E171" s="6">
        <v>0.099</v>
      </c>
      <c r="F171" s="7" t="s">
        <v>45</v>
      </c>
      <c r="G171" s="8">
        <v>26.06</v>
      </c>
      <c r="H171" s="9">
        <v>11790</v>
      </c>
      <c r="I171" s="10">
        <f t="shared" si="0"/>
        <v>5.895</v>
      </c>
      <c r="J171" s="10">
        <f t="shared" si="1"/>
        <v>117.9</v>
      </c>
      <c r="K171" s="7" t="s">
        <v>86</v>
      </c>
      <c r="L171" s="7">
        <v>70.2</v>
      </c>
      <c r="M171" s="7">
        <v>83.1</v>
      </c>
      <c r="N171" s="7">
        <v>18.5</v>
      </c>
      <c r="O171" s="7">
        <v>90</v>
      </c>
      <c r="V171" s="7" t="s">
        <v>355</v>
      </c>
      <c r="W171" s="7" t="s">
        <v>339</v>
      </c>
      <c r="X171" s="7" t="s">
        <v>365</v>
      </c>
      <c r="Y171" s="7" t="s">
        <v>115</v>
      </c>
      <c r="AA171" s="7">
        <v>0.06</v>
      </c>
      <c r="AB171" s="7">
        <v>0.73</v>
      </c>
      <c r="AC171" s="7">
        <v>0.011</v>
      </c>
      <c r="AD171" s="7">
        <v>0.001</v>
      </c>
      <c r="AE171" s="7">
        <v>0.186</v>
      </c>
      <c r="AF171" s="7">
        <v>0.12</v>
      </c>
      <c r="AG171" s="7">
        <v>0.03</v>
      </c>
      <c r="AH171" s="7">
        <v>0.06</v>
      </c>
      <c r="AI171" s="7">
        <v>0.01</v>
      </c>
      <c r="AJ171" s="7">
        <v>0.005</v>
      </c>
      <c r="AK171" s="7">
        <v>0.043</v>
      </c>
      <c r="AL171" s="7">
        <v>0.005</v>
      </c>
      <c r="AM171" s="7">
        <v>0.001</v>
      </c>
      <c r="AN171" s="7">
        <v>0.048</v>
      </c>
      <c r="AO171" s="7">
        <v>0.0001</v>
      </c>
      <c r="AP171" s="7">
        <v>0.0055</v>
      </c>
      <c r="AQ171" s="7">
        <v>0.0013</v>
      </c>
    </row>
    <row r="172" ht="30" customHeight="1">
      <c r="A172" s="6">
        <v>5657023</v>
      </c>
      <c r="C172" s="7" t="s">
        <v>43</v>
      </c>
      <c r="D172" s="7" t="s">
        <v>354</v>
      </c>
      <c r="E172" s="6">
        <v>0.1</v>
      </c>
      <c r="F172" s="7" t="s">
        <v>45</v>
      </c>
      <c r="G172" s="8">
        <v>45.25</v>
      </c>
      <c r="H172" s="9">
        <v>42800</v>
      </c>
      <c r="I172" s="10">
        <f t="shared" si="0"/>
        <v>21.4</v>
      </c>
      <c r="J172" s="10">
        <f t="shared" si="1"/>
        <v>428</v>
      </c>
      <c r="K172" s="7" t="s">
        <v>57</v>
      </c>
      <c r="V172" s="7" t="s">
        <v>355</v>
      </c>
      <c r="W172" s="7" t="s">
        <v>366</v>
      </c>
      <c r="X172" s="7" t="s">
        <v>305</v>
      </c>
      <c r="Z172" s="7" t="s">
        <v>367</v>
      </c>
      <c r="AA172" s="7">
        <v>0.07</v>
      </c>
      <c r="AB172" s="7">
        <v>1.52</v>
      </c>
      <c r="AC172" s="7">
        <v>0.011</v>
      </c>
      <c r="AD172" s="7">
        <v>0.001</v>
      </c>
      <c r="AE172" s="7">
        <v>0.243</v>
      </c>
      <c r="AF172" s="7">
        <v>0.11</v>
      </c>
      <c r="AG172" s="7">
        <v>0.03</v>
      </c>
      <c r="AH172" s="7">
        <v>0.58</v>
      </c>
      <c r="AI172" s="7">
        <v>0.01</v>
      </c>
      <c r="AJ172" s="7">
        <v>0.002</v>
      </c>
      <c r="AK172" s="7">
        <v>0.042</v>
      </c>
      <c r="AL172" s="7">
        <v>0.006</v>
      </c>
      <c r="AM172" s="7">
        <v>0.038</v>
      </c>
      <c r="AN172" s="7">
        <v>0.012</v>
      </c>
      <c r="AO172" s="7">
        <v>0.0002</v>
      </c>
      <c r="AP172" s="7">
        <v>0.0062</v>
      </c>
      <c r="AQ172" s="7">
        <v>0.0023</v>
      </c>
    </row>
    <row r="173" ht="30" customHeight="1">
      <c r="A173" s="6">
        <v>5657021</v>
      </c>
      <c r="C173" s="7" t="s">
        <v>43</v>
      </c>
      <c r="D173" s="7" t="s">
        <v>354</v>
      </c>
      <c r="E173" s="6">
        <v>0.1</v>
      </c>
      <c r="F173" s="7" t="s">
        <v>45</v>
      </c>
      <c r="G173" s="8">
        <v>45.25</v>
      </c>
      <c r="H173" s="9">
        <v>43040</v>
      </c>
      <c r="I173" s="10">
        <f t="shared" si="0"/>
        <v>21.52</v>
      </c>
      <c r="J173" s="10">
        <f t="shared" si="1"/>
        <v>430.4</v>
      </c>
      <c r="K173" s="7" t="s">
        <v>57</v>
      </c>
      <c r="V173" s="7" t="s">
        <v>355</v>
      </c>
      <c r="W173" s="7" t="s">
        <v>366</v>
      </c>
      <c r="X173" s="7" t="s">
        <v>305</v>
      </c>
      <c r="Z173" s="7" t="s">
        <v>368</v>
      </c>
      <c r="AA173" s="7">
        <v>0.07</v>
      </c>
      <c r="AB173" s="7">
        <v>1.52</v>
      </c>
      <c r="AC173" s="7">
        <v>0.011</v>
      </c>
      <c r="AD173" s="7">
        <v>0.001</v>
      </c>
      <c r="AE173" s="7">
        <v>0.243</v>
      </c>
      <c r="AF173" s="7">
        <v>0.11</v>
      </c>
      <c r="AG173" s="7">
        <v>0.03</v>
      </c>
      <c r="AH173" s="7">
        <v>0.58</v>
      </c>
      <c r="AI173" s="7">
        <v>0.01</v>
      </c>
      <c r="AJ173" s="7">
        <v>0.002</v>
      </c>
      <c r="AK173" s="7">
        <v>0.042</v>
      </c>
      <c r="AL173" s="7">
        <v>0.006</v>
      </c>
      <c r="AM173" s="7">
        <v>0.038</v>
      </c>
      <c r="AN173" s="7">
        <v>0.012</v>
      </c>
      <c r="AO173" s="7">
        <v>0.0002</v>
      </c>
      <c r="AP173" s="7">
        <v>0.0062</v>
      </c>
      <c r="AQ173" s="7">
        <v>0.0023</v>
      </c>
    </row>
    <row r="174" ht="30" customHeight="1">
      <c r="A174" s="6">
        <v>5522723.001</v>
      </c>
      <c r="C174" s="7" t="s">
        <v>51</v>
      </c>
      <c r="D174" s="7" t="s">
        <v>354</v>
      </c>
      <c r="E174" s="6">
        <v>0.103</v>
      </c>
      <c r="F174" s="7" t="s">
        <v>63</v>
      </c>
      <c r="G174" s="8">
        <v>51.75</v>
      </c>
      <c r="H174" s="9">
        <v>56900</v>
      </c>
      <c r="I174" s="10">
        <f t="shared" si="0"/>
        <v>28.45</v>
      </c>
      <c r="J174" s="10">
        <f t="shared" si="1"/>
        <v>569</v>
      </c>
      <c r="K174" s="7" t="s">
        <v>142</v>
      </c>
      <c r="P174" s="7">
        <v>59</v>
      </c>
      <c r="Q174" s="7">
        <v>73.7</v>
      </c>
      <c r="R174" s="7">
        <v>28.5</v>
      </c>
      <c r="S174" s="7">
        <v>85</v>
      </c>
      <c r="V174" s="7" t="s">
        <v>47</v>
      </c>
      <c r="W174" s="7" t="s">
        <v>369</v>
      </c>
      <c r="X174" s="7" t="s">
        <v>370</v>
      </c>
      <c r="Y174" s="7" t="s">
        <v>371</v>
      </c>
      <c r="Z174" s="11" t="s">
        <v>372</v>
      </c>
      <c r="AA174" s="7">
        <v>0.05</v>
      </c>
      <c r="AB174" s="7">
        <v>0.55</v>
      </c>
      <c r="AC174" s="7">
        <v>0.07</v>
      </c>
      <c r="AD174" s="7">
        <v>0.001</v>
      </c>
      <c r="AE174" s="7">
        <v>0.266</v>
      </c>
      <c r="AF174" s="7">
        <v>0.15</v>
      </c>
      <c r="AG174" s="7">
        <v>0.03</v>
      </c>
      <c r="AH174" s="7">
        <v>0.07</v>
      </c>
      <c r="AI174" s="7">
        <v>0.01</v>
      </c>
      <c r="AJ174" s="7">
        <v>0.004</v>
      </c>
      <c r="AK174" s="7">
        <v>0.032</v>
      </c>
      <c r="AL174" s="7">
        <v>0.003</v>
      </c>
      <c r="AM174" s="7">
        <v>0.001</v>
      </c>
      <c r="AN174" s="7">
        <v>0.005</v>
      </c>
      <c r="AO174" s="7">
        <v>0.0001</v>
      </c>
      <c r="AP174" s="7">
        <v>0.0114</v>
      </c>
      <c r="AQ174" s="7">
        <v>0.0012</v>
      </c>
    </row>
    <row r="175" ht="30" customHeight="1">
      <c r="A175" s="6">
        <v>5608267.001</v>
      </c>
      <c r="C175" s="7" t="s">
        <v>43</v>
      </c>
      <c r="D175" s="7" t="s">
        <v>354</v>
      </c>
      <c r="E175" s="6">
        <v>0.103</v>
      </c>
      <c r="F175" s="7" t="s">
        <v>63</v>
      </c>
      <c r="G175" s="8">
        <v>55.5</v>
      </c>
      <c r="H175" s="9">
        <v>43020</v>
      </c>
      <c r="I175" s="10">
        <f t="shared" si="0"/>
        <v>21.51</v>
      </c>
      <c r="J175" s="10">
        <f t="shared" si="1"/>
        <v>430.2</v>
      </c>
      <c r="K175" s="7" t="s">
        <v>128</v>
      </c>
      <c r="L175" s="7">
        <v>82.3</v>
      </c>
      <c r="M175" s="7">
        <v>95.2</v>
      </c>
      <c r="N175" s="7">
        <v>15.9</v>
      </c>
      <c r="O175" s="7">
        <v>96</v>
      </c>
      <c r="P175" s="7">
        <v>84.6</v>
      </c>
      <c r="Q175" s="7">
        <v>97</v>
      </c>
      <c r="R175" s="7">
        <v>16.5</v>
      </c>
      <c r="S175" s="7">
        <v>97</v>
      </c>
      <c r="V175" s="7" t="s">
        <v>355</v>
      </c>
      <c r="W175" s="7" t="s">
        <v>373</v>
      </c>
      <c r="X175" s="7" t="s">
        <v>374</v>
      </c>
      <c r="Y175" s="7" t="s">
        <v>375</v>
      </c>
      <c r="AA175" s="7">
        <v>0.06</v>
      </c>
      <c r="AB175" s="7">
        <v>0.73</v>
      </c>
      <c r="AC175" s="7">
        <v>0.011</v>
      </c>
      <c r="AD175" s="7">
        <v>0.003</v>
      </c>
      <c r="AE175" s="7">
        <v>0.175</v>
      </c>
      <c r="AF175" s="7">
        <v>0.12</v>
      </c>
      <c r="AG175" s="7">
        <v>0.03</v>
      </c>
      <c r="AH175" s="7">
        <v>0.05</v>
      </c>
      <c r="AI175" s="7">
        <v>0.01</v>
      </c>
      <c r="AJ175" s="7">
        <v>0.005</v>
      </c>
      <c r="AK175" s="7">
        <v>0.055</v>
      </c>
      <c r="AL175" s="7">
        <v>0.006</v>
      </c>
      <c r="AM175" s="7">
        <v>0.001</v>
      </c>
      <c r="AN175" s="7">
        <v>0.075</v>
      </c>
      <c r="AO175" s="7">
        <v>0.0001</v>
      </c>
      <c r="AP175" s="7">
        <v>0.0078</v>
      </c>
      <c r="AQ175" s="7">
        <v>0.0011</v>
      </c>
    </row>
    <row r="176" ht="30" customHeight="1">
      <c r="A176" s="6">
        <v>5608291.001</v>
      </c>
      <c r="C176" s="7" t="s">
        <v>43</v>
      </c>
      <c r="D176" s="7" t="s">
        <v>354</v>
      </c>
      <c r="E176" s="6">
        <v>0.103</v>
      </c>
      <c r="F176" s="7" t="s">
        <v>63</v>
      </c>
      <c r="G176" s="8">
        <v>55.5</v>
      </c>
      <c r="H176" s="9">
        <v>45340</v>
      </c>
      <c r="I176" s="10">
        <f t="shared" si="0"/>
        <v>22.67</v>
      </c>
      <c r="J176" s="10">
        <f t="shared" si="1"/>
        <v>453.4</v>
      </c>
      <c r="K176" s="7" t="s">
        <v>128</v>
      </c>
      <c r="L176" s="7">
        <v>81.1</v>
      </c>
      <c r="M176" s="7">
        <v>94.4</v>
      </c>
      <c r="N176" s="7">
        <v>16.1</v>
      </c>
      <c r="O176" s="7">
        <v>96</v>
      </c>
      <c r="P176" s="7">
        <v>81.3</v>
      </c>
      <c r="Q176" s="7">
        <v>96.3</v>
      </c>
      <c r="R176" s="7">
        <v>19.6</v>
      </c>
      <c r="S176" s="7">
        <v>97</v>
      </c>
      <c r="V176" s="7" t="s">
        <v>355</v>
      </c>
      <c r="W176" s="7" t="s">
        <v>376</v>
      </c>
      <c r="X176" s="7" t="s">
        <v>377</v>
      </c>
      <c r="Y176" s="7" t="s">
        <v>378</v>
      </c>
      <c r="AA176" s="7">
        <v>0.06</v>
      </c>
      <c r="AB176" s="7">
        <v>0.73</v>
      </c>
      <c r="AC176" s="7">
        <v>0.011</v>
      </c>
      <c r="AD176" s="7">
        <v>0.003</v>
      </c>
      <c r="AE176" s="7">
        <v>0.175</v>
      </c>
      <c r="AF176" s="7">
        <v>0.12</v>
      </c>
      <c r="AG176" s="7">
        <v>0.03</v>
      </c>
      <c r="AH176" s="7">
        <v>0.05</v>
      </c>
      <c r="AI176" s="7">
        <v>0.01</v>
      </c>
      <c r="AJ176" s="7">
        <v>0.005</v>
      </c>
      <c r="AK176" s="7">
        <v>0.055</v>
      </c>
      <c r="AL176" s="7">
        <v>0.006</v>
      </c>
      <c r="AM176" s="7">
        <v>0.001</v>
      </c>
      <c r="AN176" s="7">
        <v>0.075</v>
      </c>
      <c r="AO176" s="7">
        <v>0.0001</v>
      </c>
      <c r="AP176" s="7">
        <v>0.0078</v>
      </c>
      <c r="AQ176" s="7">
        <v>0.0011</v>
      </c>
    </row>
    <row r="177" ht="15" customHeight="1">
      <c r="A177" s="6">
        <v>5513463</v>
      </c>
      <c r="C177" s="7" t="s">
        <v>51</v>
      </c>
      <c r="D177" s="7" t="s">
        <v>354</v>
      </c>
      <c r="E177" s="6">
        <v>0.11</v>
      </c>
      <c r="F177" s="7" t="s">
        <v>45</v>
      </c>
      <c r="G177" s="8">
        <v>46.63</v>
      </c>
      <c r="H177" s="9">
        <v>46420</v>
      </c>
      <c r="I177" s="10">
        <f t="shared" si="0"/>
        <v>23.21</v>
      </c>
      <c r="J177" s="10">
        <f t="shared" si="1"/>
        <v>464.2</v>
      </c>
      <c r="K177" s="7" t="s">
        <v>57</v>
      </c>
      <c r="V177" s="7" t="s">
        <v>355</v>
      </c>
      <c r="W177" s="7" t="s">
        <v>379</v>
      </c>
      <c r="Z177" s="7" t="s">
        <v>380</v>
      </c>
      <c r="AA177" s="7">
        <v>0.07</v>
      </c>
      <c r="AB177" s="7">
        <v>1.56</v>
      </c>
      <c r="AC177" s="7">
        <v>0.01</v>
      </c>
      <c r="AD177" s="7">
        <v>0.001</v>
      </c>
      <c r="AE177" s="7">
        <v>0.257</v>
      </c>
      <c r="AF177" s="7">
        <v>0.1</v>
      </c>
      <c r="AG177" s="7">
        <v>0.04</v>
      </c>
      <c r="AH177" s="7">
        <v>0.61</v>
      </c>
      <c r="AI177" s="7">
        <v>0.02</v>
      </c>
      <c r="AJ177" s="7">
        <v>0.002</v>
      </c>
      <c r="AK177" s="7">
        <v>0.038</v>
      </c>
      <c r="AL177" s="7">
        <v>0.006</v>
      </c>
      <c r="AM177" s="7">
        <v>0.036</v>
      </c>
      <c r="AN177" s="7">
        <v>0.013</v>
      </c>
      <c r="AO177" s="7">
        <v>0.0001</v>
      </c>
      <c r="AP177" s="7">
        <v>0.0056</v>
      </c>
      <c r="AQ177" s="7">
        <v>0.0016</v>
      </c>
    </row>
    <row r="178" ht="15" customHeight="1">
      <c r="A178" s="6">
        <v>5661129</v>
      </c>
      <c r="C178" s="7" t="s">
        <v>51</v>
      </c>
      <c r="D178" s="7" t="s">
        <v>354</v>
      </c>
      <c r="E178" s="6">
        <v>0.145</v>
      </c>
      <c r="F178" s="7" t="s">
        <v>63</v>
      </c>
      <c r="G178" s="8">
        <v>44.88</v>
      </c>
      <c r="H178" s="9">
        <v>44560</v>
      </c>
      <c r="I178" s="10">
        <f t="shared" si="0"/>
        <v>22.28</v>
      </c>
      <c r="J178" s="10">
        <f t="shared" si="1"/>
        <v>445.6</v>
      </c>
      <c r="K178" s="7" t="s">
        <v>57</v>
      </c>
      <c r="V178" s="7" t="s">
        <v>355</v>
      </c>
      <c r="W178" s="7" t="s">
        <v>381</v>
      </c>
      <c r="AA178" s="7">
        <v>0.07</v>
      </c>
      <c r="AB178" s="7">
        <v>1.57</v>
      </c>
      <c r="AC178" s="7">
        <v>0.011</v>
      </c>
      <c r="AD178" s="7">
        <v>0</v>
      </c>
      <c r="AE178" s="7">
        <v>0.254</v>
      </c>
      <c r="AF178" s="7">
        <v>0.11</v>
      </c>
      <c r="AG178" s="7">
        <v>0.04</v>
      </c>
      <c r="AH178" s="7">
        <v>0.6</v>
      </c>
      <c r="AI178" s="7">
        <v>0.01</v>
      </c>
      <c r="AJ178" s="7">
        <v>0.003</v>
      </c>
      <c r="AK178" s="7">
        <v>0.04</v>
      </c>
      <c r="AL178" s="7">
        <v>0.006</v>
      </c>
      <c r="AM178" s="7">
        <v>0.036</v>
      </c>
      <c r="AN178" s="7">
        <v>0.012</v>
      </c>
      <c r="AO178" s="7">
        <v>0.0003</v>
      </c>
      <c r="AP178" s="7">
        <v>0.0067</v>
      </c>
      <c r="AQ178" s="7">
        <v>0.0012</v>
      </c>
    </row>
    <row r="179" ht="30" customHeight="1">
      <c r="A179" s="6">
        <v>5528453</v>
      </c>
      <c r="C179" s="7" t="s">
        <v>43</v>
      </c>
      <c r="D179" s="7" t="s">
        <v>354</v>
      </c>
      <c r="E179" s="6">
        <v>0.151</v>
      </c>
      <c r="F179" s="7" t="s">
        <v>45</v>
      </c>
      <c r="G179" s="8">
        <v>55.99</v>
      </c>
      <c r="H179" s="9">
        <v>39940</v>
      </c>
      <c r="I179" s="10">
        <f t="shared" si="0"/>
        <v>19.97</v>
      </c>
      <c r="J179" s="10">
        <f t="shared" si="1"/>
        <v>399.4</v>
      </c>
      <c r="K179" s="7" t="s">
        <v>138</v>
      </c>
      <c r="L179" s="7">
        <v>97.9</v>
      </c>
      <c r="M179" s="7">
        <v>110.6</v>
      </c>
      <c r="N179" s="7">
        <v>14.2</v>
      </c>
      <c r="O179" s="7">
        <v>101</v>
      </c>
      <c r="P179" s="7">
        <v>101.3</v>
      </c>
      <c r="Q179" s="7">
        <v>112.8</v>
      </c>
      <c r="R179" s="7">
        <v>15.2</v>
      </c>
      <c r="S179" s="7">
        <v>101</v>
      </c>
      <c r="V179" s="7" t="s">
        <v>355</v>
      </c>
      <c r="W179" s="7" t="s">
        <v>382</v>
      </c>
      <c r="X179" s="7" t="s">
        <v>370</v>
      </c>
      <c r="Y179" s="7" t="s">
        <v>383</v>
      </c>
      <c r="AA179" s="7">
        <v>0.06</v>
      </c>
      <c r="AB179" s="7">
        <v>1.48</v>
      </c>
      <c r="AC179" s="7">
        <v>0.01</v>
      </c>
      <c r="AD179" s="7">
        <v>0.001</v>
      </c>
      <c r="AE179" s="7">
        <v>0.212</v>
      </c>
      <c r="AF179" s="7">
        <v>0.12</v>
      </c>
      <c r="AG179" s="7">
        <v>0.11</v>
      </c>
      <c r="AH179" s="7">
        <v>0.1</v>
      </c>
      <c r="AI179" s="7">
        <v>0.1</v>
      </c>
      <c r="AJ179" s="7">
        <v>0.005</v>
      </c>
      <c r="AK179" s="7">
        <v>0.049</v>
      </c>
      <c r="AL179" s="7">
        <v>0.01</v>
      </c>
      <c r="AM179" s="7">
        <v>0.046</v>
      </c>
      <c r="AN179" s="7">
        <v>0.097</v>
      </c>
      <c r="AO179" s="7">
        <v>0.0004</v>
      </c>
      <c r="AP179" s="7">
        <v>0.0072</v>
      </c>
      <c r="AQ179" s="7">
        <v>0.002</v>
      </c>
    </row>
    <row r="180" ht="15" customHeight="1">
      <c r="A180" s="6">
        <v>5623867</v>
      </c>
      <c r="C180" s="7" t="s">
        <v>51</v>
      </c>
      <c r="D180" s="7" t="s">
        <v>354</v>
      </c>
      <c r="E180" s="6">
        <v>0.176</v>
      </c>
      <c r="F180" s="7" t="s">
        <v>63</v>
      </c>
      <c r="G180" s="8">
        <v>58.87</v>
      </c>
      <c r="H180" s="9">
        <v>56400</v>
      </c>
      <c r="I180" s="10">
        <f t="shared" si="0"/>
        <v>28.2</v>
      </c>
      <c r="J180" s="10">
        <f t="shared" si="1"/>
        <v>564</v>
      </c>
      <c r="K180" s="7" t="s">
        <v>178</v>
      </c>
      <c r="V180" s="7" t="s">
        <v>355</v>
      </c>
      <c r="W180" s="7" t="s">
        <v>364</v>
      </c>
      <c r="X180" s="7" t="s">
        <v>384</v>
      </c>
      <c r="Y180" s="7" t="s">
        <v>385</v>
      </c>
      <c r="AA180" s="7">
        <v>0.04</v>
      </c>
      <c r="AB180" s="7">
        <v>0.24</v>
      </c>
      <c r="AC180" s="7">
        <v>0.009</v>
      </c>
      <c r="AD180" s="7">
        <v>0.002</v>
      </c>
      <c r="AE180" s="7">
        <v>0.023</v>
      </c>
      <c r="AF180" s="7">
        <v>0.13</v>
      </c>
      <c r="AG180" s="7">
        <v>0.04</v>
      </c>
      <c r="AH180" s="7">
        <v>0.05</v>
      </c>
      <c r="AI180" s="7">
        <v>0.01</v>
      </c>
      <c r="AJ180" s="7">
        <v>0.005</v>
      </c>
      <c r="AK180" s="7">
        <v>0.035</v>
      </c>
      <c r="AL180" s="7">
        <v>0.002</v>
      </c>
      <c r="AM180" s="7">
        <v>0</v>
      </c>
      <c r="AN180" s="7">
        <v>0.017</v>
      </c>
      <c r="AO180" s="7">
        <v>0.0009</v>
      </c>
      <c r="AP180" s="7">
        <v>0.0053</v>
      </c>
      <c r="AQ180" s="7">
        <v>0.0028</v>
      </c>
    </row>
    <row r="181" ht="30" customHeight="1">
      <c r="A181" s="6">
        <v>5528465</v>
      </c>
      <c r="C181" s="7" t="s">
        <v>43</v>
      </c>
      <c r="D181" s="7" t="s">
        <v>354</v>
      </c>
      <c r="E181" s="6">
        <v>0.178</v>
      </c>
      <c r="F181" s="7" t="s">
        <v>45</v>
      </c>
      <c r="G181" s="8">
        <v>49.43</v>
      </c>
      <c r="H181" s="9">
        <v>41160</v>
      </c>
      <c r="I181" s="10">
        <f t="shared" si="0"/>
        <v>20.58</v>
      </c>
      <c r="J181" s="10">
        <f t="shared" si="1"/>
        <v>411.6</v>
      </c>
      <c r="K181" s="7" t="s">
        <v>138</v>
      </c>
      <c r="P181" s="7">
        <v>99</v>
      </c>
      <c r="Q181" s="7">
        <v>114.4</v>
      </c>
      <c r="R181" s="7">
        <v>16.1</v>
      </c>
      <c r="S181" s="7">
        <v>100</v>
      </c>
      <c r="V181" s="7" t="s">
        <v>355</v>
      </c>
      <c r="W181" s="7" t="s">
        <v>386</v>
      </c>
      <c r="X181" s="7" t="s">
        <v>387</v>
      </c>
      <c r="AA181" s="7">
        <v>0.06</v>
      </c>
      <c r="AB181" s="7">
        <v>1.47</v>
      </c>
      <c r="AC181" s="7">
        <v>0.01</v>
      </c>
      <c r="AD181" s="7">
        <v>0.002</v>
      </c>
      <c r="AE181" s="7">
        <v>0.197</v>
      </c>
      <c r="AF181" s="7">
        <v>0.14</v>
      </c>
      <c r="AG181" s="7">
        <v>0.12</v>
      </c>
      <c r="AH181" s="7">
        <v>0.12</v>
      </c>
      <c r="AI181" s="7">
        <v>0.11</v>
      </c>
      <c r="AJ181" s="7">
        <v>0.004</v>
      </c>
      <c r="AK181" s="7">
        <v>0.044</v>
      </c>
      <c r="AL181" s="7">
        <v>0.011</v>
      </c>
      <c r="AM181" s="7">
        <v>0.048</v>
      </c>
      <c r="AN181" s="7">
        <v>0.098</v>
      </c>
      <c r="AO181" s="7">
        <v>0.0003</v>
      </c>
      <c r="AP181" s="7">
        <v>0.0073</v>
      </c>
      <c r="AQ181" s="7">
        <v>0.0024</v>
      </c>
    </row>
    <row r="182" ht="15" customHeight="1">
      <c r="A182" s="6">
        <v>5528467</v>
      </c>
      <c r="C182" s="7" t="s">
        <v>43</v>
      </c>
      <c r="D182" s="7" t="s">
        <v>354</v>
      </c>
      <c r="E182" s="6">
        <v>0.178</v>
      </c>
      <c r="F182" s="7" t="s">
        <v>45</v>
      </c>
      <c r="G182" s="8">
        <v>49.45</v>
      </c>
      <c r="H182" s="9">
        <v>41300</v>
      </c>
      <c r="I182" s="10">
        <f t="shared" si="0"/>
        <v>20.65</v>
      </c>
      <c r="J182" s="10">
        <f t="shared" si="1"/>
        <v>413</v>
      </c>
      <c r="K182" s="7" t="s">
        <v>138</v>
      </c>
      <c r="L182" s="7">
        <v>98.8</v>
      </c>
      <c r="M182" s="7">
        <v>113.3</v>
      </c>
      <c r="N182" s="7">
        <v>16.7</v>
      </c>
      <c r="O182" s="7">
        <v>101</v>
      </c>
      <c r="P182" s="7">
        <v>96.1</v>
      </c>
      <c r="Q182" s="7">
        <v>111.2</v>
      </c>
      <c r="R182" s="7">
        <v>17.4</v>
      </c>
      <c r="S182" s="7">
        <v>99</v>
      </c>
      <c r="V182" s="7" t="s">
        <v>355</v>
      </c>
      <c r="W182" s="7" t="s">
        <v>388</v>
      </c>
      <c r="AA182" s="7">
        <v>0.06</v>
      </c>
      <c r="AB182" s="7">
        <v>1.47</v>
      </c>
      <c r="AC182" s="7">
        <v>0.01</v>
      </c>
      <c r="AD182" s="7">
        <v>0.002</v>
      </c>
      <c r="AE182" s="7">
        <v>0.197</v>
      </c>
      <c r="AF182" s="7">
        <v>0.14</v>
      </c>
      <c r="AG182" s="7">
        <v>0.12</v>
      </c>
      <c r="AH182" s="7">
        <v>0.12</v>
      </c>
      <c r="AI182" s="7">
        <v>0.11</v>
      </c>
      <c r="AJ182" s="7">
        <v>0.004</v>
      </c>
      <c r="AK182" s="7">
        <v>0.044</v>
      </c>
      <c r="AL182" s="7">
        <v>0.011</v>
      </c>
      <c r="AM182" s="7">
        <v>0.048</v>
      </c>
      <c r="AN182" s="7">
        <v>0.098</v>
      </c>
      <c r="AO182" s="7">
        <v>0.0003</v>
      </c>
      <c r="AP182" s="7">
        <v>0.0073</v>
      </c>
      <c r="AQ182" s="7">
        <v>0.0024</v>
      </c>
    </row>
    <row r="183" ht="15" customHeight="1">
      <c r="A183" s="6">
        <v>5653231</v>
      </c>
      <c r="C183" s="7" t="s">
        <v>51</v>
      </c>
      <c r="D183" s="7" t="s">
        <v>354</v>
      </c>
      <c r="E183" s="6">
        <v>0.185</v>
      </c>
      <c r="F183" s="7" t="s">
        <v>63</v>
      </c>
      <c r="G183" s="8">
        <v>40.81</v>
      </c>
      <c r="H183" s="9">
        <v>38920</v>
      </c>
      <c r="I183" s="10">
        <f t="shared" si="0"/>
        <v>19.46</v>
      </c>
      <c r="J183" s="10">
        <f t="shared" si="1"/>
        <v>389.2</v>
      </c>
      <c r="K183" s="7" t="s">
        <v>57</v>
      </c>
      <c r="V183" s="7" t="s">
        <v>355</v>
      </c>
      <c r="W183" s="7" t="s">
        <v>381</v>
      </c>
      <c r="Z183" s="7" t="s">
        <v>389</v>
      </c>
      <c r="AA183" s="7">
        <v>0.07</v>
      </c>
      <c r="AB183" s="7">
        <v>1.59</v>
      </c>
      <c r="AC183" s="7">
        <v>0.011</v>
      </c>
      <c r="AD183" s="7">
        <v>0</v>
      </c>
      <c r="AE183" s="7">
        <v>0.264</v>
      </c>
      <c r="AF183" s="7">
        <v>0.12</v>
      </c>
      <c r="AG183" s="7">
        <v>0.04</v>
      </c>
      <c r="AH183" s="7">
        <v>0.59</v>
      </c>
      <c r="AI183" s="7">
        <v>0.02</v>
      </c>
      <c r="AJ183" s="7">
        <v>0.003</v>
      </c>
      <c r="AK183" s="7">
        <v>0.035</v>
      </c>
      <c r="AL183" s="7">
        <v>0.007</v>
      </c>
      <c r="AM183" s="7">
        <v>0.036</v>
      </c>
      <c r="AN183" s="7">
        <v>0.011</v>
      </c>
      <c r="AO183" s="7">
        <v>0.0001</v>
      </c>
      <c r="AP183" s="7">
        <v>0.0061</v>
      </c>
      <c r="AQ183" s="7">
        <v>0.0034</v>
      </c>
    </row>
    <row r="184" ht="15" customHeight="1">
      <c r="A184" s="6">
        <v>5626395</v>
      </c>
      <c r="C184" s="7" t="s">
        <v>51</v>
      </c>
      <c r="D184" s="7" t="s">
        <v>354</v>
      </c>
      <c r="E184" s="6">
        <v>0.185</v>
      </c>
      <c r="F184" s="7" t="s">
        <v>45</v>
      </c>
      <c r="G184" s="8">
        <v>53.25</v>
      </c>
      <c r="H184" s="9">
        <v>45000</v>
      </c>
      <c r="I184" s="10">
        <f t="shared" si="0"/>
        <v>22.5</v>
      </c>
      <c r="J184" s="10">
        <f t="shared" si="1"/>
        <v>450</v>
      </c>
      <c r="K184" s="7" t="s">
        <v>121</v>
      </c>
      <c r="V184" s="7" t="s">
        <v>355</v>
      </c>
      <c r="W184" s="7" t="s">
        <v>381</v>
      </c>
      <c r="AA184" s="7">
        <v>0.07</v>
      </c>
      <c r="AB184" s="7">
        <v>1.52</v>
      </c>
      <c r="AC184" s="7">
        <v>0.012</v>
      </c>
      <c r="AD184" s="7">
        <v>0.002</v>
      </c>
      <c r="AE184" s="7">
        <v>0.249</v>
      </c>
      <c r="AF184" s="7">
        <v>0.11</v>
      </c>
      <c r="AG184" s="7">
        <v>0.03</v>
      </c>
      <c r="AH184" s="7">
        <v>0.6</v>
      </c>
      <c r="AI184" s="7">
        <v>0.02</v>
      </c>
      <c r="AJ184" s="7">
        <v>0.004</v>
      </c>
      <c r="AK184" s="7">
        <v>0.034</v>
      </c>
      <c r="AL184" s="7">
        <v>0.006</v>
      </c>
      <c r="AM184" s="7">
        <v>0.012</v>
      </c>
      <c r="AN184" s="7">
        <v>0.01</v>
      </c>
      <c r="AO184" s="7">
        <v>0.0004</v>
      </c>
      <c r="AP184" s="7">
        <v>0.0055</v>
      </c>
      <c r="AQ184" s="7">
        <v>0.0022</v>
      </c>
    </row>
    <row r="185" ht="30" customHeight="1">
      <c r="A185" s="6">
        <v>5539805.001</v>
      </c>
      <c r="C185" s="7" t="s">
        <v>51</v>
      </c>
      <c r="D185" s="7" t="s">
        <v>354</v>
      </c>
      <c r="E185" s="6">
        <v>0.308</v>
      </c>
      <c r="F185" s="7" t="s">
        <v>63</v>
      </c>
      <c r="G185" s="8">
        <v>60.38</v>
      </c>
      <c r="H185" s="9">
        <v>72860</v>
      </c>
      <c r="I185" s="10">
        <f t="shared" si="0"/>
        <v>36.43</v>
      </c>
      <c r="J185" s="10">
        <f t="shared" si="1"/>
        <v>728.6</v>
      </c>
      <c r="K185" s="7" t="s">
        <v>279</v>
      </c>
      <c r="V185" s="7" t="s">
        <v>355</v>
      </c>
      <c r="W185" s="7" t="s">
        <v>390</v>
      </c>
      <c r="X185" s="7" t="s">
        <v>391</v>
      </c>
      <c r="Z185" s="7" t="s">
        <v>392</v>
      </c>
      <c r="AA185" s="7">
        <v>0.04</v>
      </c>
      <c r="AB185" s="7">
        <v>0.76</v>
      </c>
      <c r="AC185" s="7">
        <v>0.011</v>
      </c>
      <c r="AD185" s="7">
        <v>0</v>
      </c>
      <c r="AE185" s="7">
        <v>0.188</v>
      </c>
      <c r="AF185" s="7">
        <v>0.1</v>
      </c>
      <c r="AG185" s="7">
        <v>0.03</v>
      </c>
      <c r="AH185" s="7">
        <v>0.08</v>
      </c>
      <c r="AI185" s="7">
        <v>0.02</v>
      </c>
      <c r="AJ185" s="7">
        <v>0.002</v>
      </c>
      <c r="AK185" s="7">
        <v>0.053</v>
      </c>
      <c r="AL185" s="7">
        <v>0.008</v>
      </c>
      <c r="AM185" s="7">
        <v>0.012</v>
      </c>
      <c r="AN185" s="7">
        <v>0.086</v>
      </c>
      <c r="AO185" s="7">
        <v>0.0001</v>
      </c>
      <c r="AP185" s="7">
        <v>0.0074</v>
      </c>
      <c r="AQ185" s="7">
        <v>0.0008</v>
      </c>
    </row>
    <row r="186" ht="30" customHeight="1">
      <c r="A186" s="6">
        <v>5543816.001</v>
      </c>
      <c r="C186" s="7" t="s">
        <v>51</v>
      </c>
      <c r="D186" s="7" t="s">
        <v>354</v>
      </c>
      <c r="E186" s="6">
        <v>0.308</v>
      </c>
      <c r="F186" s="7" t="s">
        <v>63</v>
      </c>
      <c r="G186" s="8">
        <v>60.51</v>
      </c>
      <c r="H186" s="9">
        <v>73000</v>
      </c>
      <c r="I186" s="10">
        <f t="shared" si="0"/>
        <v>36.5</v>
      </c>
      <c r="J186" s="10">
        <f t="shared" si="1"/>
        <v>730</v>
      </c>
      <c r="K186" s="7" t="s">
        <v>279</v>
      </c>
      <c r="V186" s="7" t="s">
        <v>355</v>
      </c>
      <c r="W186" s="7" t="s">
        <v>390</v>
      </c>
      <c r="X186" s="7" t="s">
        <v>391</v>
      </c>
      <c r="AA186" s="7">
        <v>0.06</v>
      </c>
      <c r="AB186" s="7">
        <v>0.73</v>
      </c>
      <c r="AC186" s="7">
        <v>0.011</v>
      </c>
      <c r="AD186" s="7">
        <v>0</v>
      </c>
      <c r="AE186" s="7">
        <v>0.196</v>
      </c>
      <c r="AF186" s="7">
        <v>0.11</v>
      </c>
      <c r="AG186" s="7">
        <v>0.03</v>
      </c>
      <c r="AH186" s="7">
        <v>0.08</v>
      </c>
      <c r="AI186" s="7">
        <v>0.02</v>
      </c>
      <c r="AJ186" s="7">
        <v>0.002</v>
      </c>
      <c r="AK186" s="7">
        <v>0.059</v>
      </c>
      <c r="AL186" s="7">
        <v>0.007</v>
      </c>
      <c r="AM186" s="7">
        <v>0.012</v>
      </c>
      <c r="AN186" s="7">
        <v>0.089</v>
      </c>
      <c r="AO186" s="7">
        <v>0.0001</v>
      </c>
      <c r="AP186" s="7">
        <v>0.0092</v>
      </c>
      <c r="AQ186" s="7">
        <v>0.0014</v>
      </c>
    </row>
    <row r="187" ht="15" customHeight="1">
      <c r="A187" s="6">
        <v>5638756</v>
      </c>
      <c r="C187" s="7" t="s">
        <v>51</v>
      </c>
      <c r="D187" s="7" t="s">
        <v>354</v>
      </c>
      <c r="E187" s="6">
        <v>0.31</v>
      </c>
      <c r="F187" s="7" t="s">
        <v>63</v>
      </c>
      <c r="G187" s="8">
        <v>58.48</v>
      </c>
      <c r="H187" s="9">
        <v>45700</v>
      </c>
      <c r="I187" s="10">
        <f t="shared" si="0"/>
        <v>22.85</v>
      </c>
      <c r="J187" s="10">
        <f t="shared" si="1"/>
        <v>457</v>
      </c>
      <c r="K187" s="7" t="s">
        <v>393</v>
      </c>
      <c r="L187" s="7">
        <v>59</v>
      </c>
      <c r="M187" s="7">
        <v>68.9</v>
      </c>
      <c r="N187" s="7">
        <v>34.5</v>
      </c>
      <c r="O187" s="7">
        <v>82</v>
      </c>
      <c r="V187" s="7" t="s">
        <v>355</v>
      </c>
      <c r="W187" s="7" t="s">
        <v>394</v>
      </c>
      <c r="X187" s="7" t="s">
        <v>395</v>
      </c>
      <c r="AA187" s="7">
        <v>0.05</v>
      </c>
      <c r="AB187" s="7">
        <v>0.66</v>
      </c>
      <c r="AC187" s="7">
        <v>0.012</v>
      </c>
      <c r="AD187" s="7">
        <v>0.003</v>
      </c>
      <c r="AE187" s="7">
        <v>0.029</v>
      </c>
      <c r="AF187" s="7">
        <v>0.11</v>
      </c>
      <c r="AG187" s="7">
        <v>0.03</v>
      </c>
      <c r="AH187" s="7">
        <v>0.05</v>
      </c>
      <c r="AI187" s="7">
        <v>0.01</v>
      </c>
      <c r="AJ187" s="7">
        <v>0.003</v>
      </c>
      <c r="AK187" s="7">
        <v>0.029</v>
      </c>
      <c r="AL187" s="7">
        <v>0.003</v>
      </c>
      <c r="AM187" s="7">
        <v>0.017</v>
      </c>
      <c r="AN187" s="7">
        <v>0.009</v>
      </c>
      <c r="AO187" s="7">
        <v>0</v>
      </c>
      <c r="AP187" s="7">
        <v>0.0066</v>
      </c>
      <c r="AQ187" s="7">
        <v>0.0037</v>
      </c>
    </row>
    <row r="188" ht="45" customHeight="1">
      <c r="A188" s="6">
        <v>5632258.001</v>
      </c>
      <c r="C188" s="7" t="s">
        <v>43</v>
      </c>
      <c r="D188" s="7" t="s">
        <v>396</v>
      </c>
      <c r="E188" s="6">
        <v>0.02</v>
      </c>
      <c r="F188" s="7" t="s">
        <v>63</v>
      </c>
      <c r="G188" s="8">
        <v>58.38</v>
      </c>
      <c r="H188" s="9">
        <v>22260</v>
      </c>
      <c r="I188" s="10">
        <f t="shared" si="0"/>
        <v>11.13</v>
      </c>
      <c r="J188" s="10">
        <f t="shared" si="1"/>
        <v>222.6</v>
      </c>
      <c r="K188" s="7" t="s">
        <v>90</v>
      </c>
      <c r="O188" s="7">
        <v>65</v>
      </c>
      <c r="V188" s="7" t="s">
        <v>355</v>
      </c>
      <c r="W188" s="7" t="s">
        <v>397</v>
      </c>
      <c r="Z188" s="7" t="s">
        <v>398</v>
      </c>
      <c r="AA188" s="7">
        <v>0.04</v>
      </c>
      <c r="AB188" s="7">
        <v>0.18</v>
      </c>
      <c r="AC188" s="7">
        <v>0.008</v>
      </c>
      <c r="AD188" s="7">
        <v>0.003</v>
      </c>
      <c r="AE188" s="7">
        <v>0.028</v>
      </c>
      <c r="AF188" s="7">
        <v>0.11</v>
      </c>
      <c r="AG188" s="7">
        <v>0.03</v>
      </c>
      <c r="AH188" s="7">
        <v>0.04</v>
      </c>
      <c r="AI188" s="7">
        <v>0.02</v>
      </c>
      <c r="AJ188" s="7">
        <v>0.003</v>
      </c>
      <c r="AK188" s="7">
        <v>0.039</v>
      </c>
      <c r="AL188" s="7">
        <v>0.002</v>
      </c>
      <c r="AM188" s="7">
        <v>0.001</v>
      </c>
      <c r="AN188" s="7">
        <v>0.002</v>
      </c>
      <c r="AO188" s="7">
        <v>0.0001</v>
      </c>
      <c r="AP188" s="7">
        <v>0.0055</v>
      </c>
      <c r="AQ188" s="7">
        <v>0.002</v>
      </c>
    </row>
    <row r="189" ht="45" customHeight="1">
      <c r="A189" s="6">
        <v>5634357</v>
      </c>
      <c r="C189" s="7" t="s">
        <v>43</v>
      </c>
      <c r="D189" s="7" t="s">
        <v>396</v>
      </c>
      <c r="E189" s="6">
        <v>0.022</v>
      </c>
      <c r="F189" s="7" t="s">
        <v>63</v>
      </c>
      <c r="G189" s="8">
        <v>62.13</v>
      </c>
      <c r="H189" s="9">
        <v>44480</v>
      </c>
      <c r="I189" s="10">
        <f t="shared" si="0"/>
        <v>22.24</v>
      </c>
      <c r="J189" s="10">
        <f t="shared" si="1"/>
        <v>444.8</v>
      </c>
      <c r="K189" s="7" t="s">
        <v>90</v>
      </c>
      <c r="O189" s="7">
        <v>45</v>
      </c>
      <c r="V189" s="7" t="s">
        <v>355</v>
      </c>
      <c r="W189" s="7" t="s">
        <v>399</v>
      </c>
      <c r="Z189" s="7" t="s">
        <v>400</v>
      </c>
      <c r="AA189" s="7">
        <v>0.05</v>
      </c>
      <c r="AB189" s="7">
        <v>0.19</v>
      </c>
      <c r="AC189" s="7">
        <v>0.008</v>
      </c>
      <c r="AD189" s="7">
        <v>0.002</v>
      </c>
      <c r="AE189" s="7">
        <v>0.033</v>
      </c>
      <c r="AF189" s="7">
        <v>0.11</v>
      </c>
      <c r="AG189" s="7">
        <v>0.03</v>
      </c>
      <c r="AH189" s="7">
        <v>0.05</v>
      </c>
      <c r="AI189" s="7">
        <v>0.02</v>
      </c>
      <c r="AJ189" s="7">
        <v>0.003</v>
      </c>
      <c r="AK189" s="7">
        <v>0.027</v>
      </c>
      <c r="AL189" s="7">
        <v>0.001</v>
      </c>
      <c r="AM189" s="7">
        <v>0.001</v>
      </c>
      <c r="AN189" s="7">
        <v>0.002</v>
      </c>
      <c r="AO189" s="7">
        <v>0.0001</v>
      </c>
      <c r="AP189" s="7">
        <v>0.0065</v>
      </c>
      <c r="AQ189" s="7">
        <v>0.0018</v>
      </c>
    </row>
    <row r="190" ht="15" customHeight="1">
      <c r="A190" s="6">
        <v>5620354.001</v>
      </c>
      <c r="C190" s="7" t="s">
        <v>43</v>
      </c>
      <c r="D190" s="7" t="s">
        <v>396</v>
      </c>
      <c r="E190" s="6">
        <v>0.023</v>
      </c>
      <c r="F190" s="7" t="s">
        <v>63</v>
      </c>
      <c r="G190" s="8">
        <v>46.31</v>
      </c>
      <c r="H190" s="9">
        <v>45800</v>
      </c>
      <c r="I190" s="10">
        <f t="shared" si="0"/>
        <v>22.9</v>
      </c>
      <c r="J190" s="10">
        <f t="shared" si="1"/>
        <v>458</v>
      </c>
      <c r="K190" s="7" t="s">
        <v>90</v>
      </c>
      <c r="O190" s="7">
        <v>45</v>
      </c>
      <c r="V190" s="7" t="s">
        <v>355</v>
      </c>
      <c r="W190" s="7" t="s">
        <v>401</v>
      </c>
      <c r="Z190" s="7" t="s">
        <v>402</v>
      </c>
      <c r="AA190" s="7">
        <v>0.05</v>
      </c>
      <c r="AB190" s="7">
        <v>0.19</v>
      </c>
      <c r="AC190" s="7">
        <v>0.012</v>
      </c>
      <c r="AD190" s="7">
        <v>0.002</v>
      </c>
      <c r="AE190" s="7">
        <v>0.024</v>
      </c>
      <c r="AF190" s="7">
        <v>0.14</v>
      </c>
      <c r="AG190" s="7">
        <v>0.03</v>
      </c>
      <c r="AH190" s="7">
        <v>0.05</v>
      </c>
      <c r="AI190" s="7">
        <v>0.02</v>
      </c>
      <c r="AJ190" s="7">
        <v>0.003</v>
      </c>
      <c r="AK190" s="7">
        <v>0.034</v>
      </c>
      <c r="AL190" s="7">
        <v>0.003</v>
      </c>
      <c r="AM190" s="7">
        <v>0.001</v>
      </c>
      <c r="AN190" s="7">
        <v>0.002</v>
      </c>
      <c r="AO190" s="7">
        <v>0.0001</v>
      </c>
      <c r="AP190" s="7">
        <v>0.0056</v>
      </c>
      <c r="AQ190" s="7">
        <v>0.0013</v>
      </c>
    </row>
    <row r="191" ht="30" customHeight="1">
      <c r="A191" s="6">
        <v>5597459</v>
      </c>
      <c r="C191" s="7" t="s">
        <v>43</v>
      </c>
      <c r="D191" s="7" t="s">
        <v>396</v>
      </c>
      <c r="E191" s="6">
        <v>0.023</v>
      </c>
      <c r="F191" s="7" t="s">
        <v>63</v>
      </c>
      <c r="G191" s="8">
        <v>58.94</v>
      </c>
      <c r="H191" s="9">
        <v>40880</v>
      </c>
      <c r="I191" s="10">
        <f t="shared" si="0"/>
        <v>20.44</v>
      </c>
      <c r="J191" s="10">
        <f t="shared" si="1"/>
        <v>408.8</v>
      </c>
      <c r="K191" s="7" t="s">
        <v>90</v>
      </c>
      <c r="O191" s="7">
        <v>34</v>
      </c>
      <c r="V191" s="7" t="s">
        <v>355</v>
      </c>
      <c r="W191" s="7" t="s">
        <v>403</v>
      </c>
      <c r="X191" s="7" t="s">
        <v>404</v>
      </c>
      <c r="AA191" s="7">
        <v>0.05</v>
      </c>
      <c r="AB191" s="7">
        <v>0.16</v>
      </c>
      <c r="AC191" s="7">
        <v>0.009</v>
      </c>
      <c r="AD191" s="7">
        <v>0.003</v>
      </c>
      <c r="AE191" s="7">
        <v>0.023</v>
      </c>
      <c r="AF191" s="7">
        <v>0.11</v>
      </c>
      <c r="AG191" s="7">
        <v>0.03</v>
      </c>
      <c r="AH191" s="7">
        <v>0.04</v>
      </c>
      <c r="AI191" s="7">
        <v>0.01</v>
      </c>
      <c r="AJ191" s="7">
        <v>0.004</v>
      </c>
      <c r="AK191" s="7">
        <v>0.032</v>
      </c>
      <c r="AL191" s="7">
        <v>0.002</v>
      </c>
      <c r="AM191" s="7">
        <v>0.001</v>
      </c>
      <c r="AN191" s="7">
        <v>0.001</v>
      </c>
      <c r="AO191" s="7">
        <v>0.0001</v>
      </c>
      <c r="AP191" s="7">
        <v>0.0058</v>
      </c>
      <c r="AQ191" s="7">
        <v>0.0021</v>
      </c>
    </row>
    <row r="192" ht="30" customHeight="1">
      <c r="A192" s="6">
        <v>5675380.001</v>
      </c>
      <c r="C192" s="7" t="s">
        <v>43</v>
      </c>
      <c r="D192" s="7" t="s">
        <v>396</v>
      </c>
      <c r="E192" s="6">
        <v>0.026</v>
      </c>
      <c r="F192" s="7" t="s">
        <v>63</v>
      </c>
      <c r="G192" s="8">
        <v>48.06</v>
      </c>
      <c r="H192" s="9">
        <v>19880</v>
      </c>
      <c r="I192" s="10">
        <f t="shared" si="0"/>
        <v>9.94</v>
      </c>
      <c r="J192" s="10">
        <f t="shared" si="1"/>
        <v>198.8</v>
      </c>
      <c r="K192" s="7" t="s">
        <v>90</v>
      </c>
      <c r="O192" s="7">
        <v>42</v>
      </c>
      <c r="V192" s="7" t="s">
        <v>355</v>
      </c>
      <c r="W192" s="7" t="s">
        <v>405</v>
      </c>
      <c r="Z192" s="7" t="s">
        <v>406</v>
      </c>
      <c r="AA192" s="7">
        <v>0.05</v>
      </c>
      <c r="AB192" s="7">
        <v>0.18</v>
      </c>
      <c r="AC192" s="7">
        <v>0.011</v>
      </c>
      <c r="AD192" s="7">
        <v>0.001</v>
      </c>
      <c r="AE192" s="7">
        <v>0.026</v>
      </c>
      <c r="AF192" s="7">
        <v>0.12</v>
      </c>
      <c r="AG192" s="7">
        <v>0.04</v>
      </c>
      <c r="AH192" s="7">
        <v>0.07</v>
      </c>
      <c r="AI192" s="7">
        <v>0.01</v>
      </c>
      <c r="AJ192" s="7">
        <v>0.004</v>
      </c>
      <c r="AK192" s="7">
        <v>0.025</v>
      </c>
      <c r="AL192" s="7">
        <v>0.002</v>
      </c>
      <c r="AM192" s="7">
        <v>0.001</v>
      </c>
      <c r="AN192" s="7">
        <v>0</v>
      </c>
      <c r="AO192" s="7">
        <v>0.0001</v>
      </c>
      <c r="AP192" s="7">
        <v>0.0053</v>
      </c>
      <c r="AQ192" s="7">
        <v>0.0018</v>
      </c>
    </row>
    <row r="193" ht="15" customHeight="1">
      <c r="A193" s="6">
        <v>5634348</v>
      </c>
      <c r="C193" s="7" t="s">
        <v>43</v>
      </c>
      <c r="D193" s="7" t="s">
        <v>396</v>
      </c>
      <c r="E193" s="6">
        <v>0.026</v>
      </c>
      <c r="F193" s="7" t="s">
        <v>63</v>
      </c>
      <c r="G193" s="8">
        <v>60.63</v>
      </c>
      <c r="H193" s="9">
        <v>39200</v>
      </c>
      <c r="I193" s="10">
        <f t="shared" si="0"/>
        <v>19.6</v>
      </c>
      <c r="J193" s="10">
        <f t="shared" si="1"/>
        <v>392</v>
      </c>
      <c r="K193" s="7" t="s">
        <v>90</v>
      </c>
      <c r="O193" s="7">
        <v>43</v>
      </c>
      <c r="V193" s="7" t="s">
        <v>355</v>
      </c>
      <c r="W193" s="7" t="s">
        <v>401</v>
      </c>
      <c r="Z193" s="7" t="s">
        <v>402</v>
      </c>
      <c r="AA193" s="7">
        <v>0.04</v>
      </c>
      <c r="AB193" s="7">
        <v>0.19</v>
      </c>
      <c r="AC193" s="7">
        <v>0.008</v>
      </c>
      <c r="AD193" s="7">
        <v>0.003</v>
      </c>
      <c r="AE193" s="7">
        <v>0.028</v>
      </c>
      <c r="AF193" s="7">
        <v>0.11</v>
      </c>
      <c r="AG193" s="7">
        <v>0.03</v>
      </c>
      <c r="AH193" s="7">
        <v>0.05</v>
      </c>
      <c r="AI193" s="7">
        <v>0.02</v>
      </c>
      <c r="AJ193" s="7">
        <v>0.004</v>
      </c>
      <c r="AK193" s="7">
        <v>0.031</v>
      </c>
      <c r="AL193" s="7">
        <v>0.001</v>
      </c>
      <c r="AM193" s="7">
        <v>0.001</v>
      </c>
      <c r="AN193" s="7">
        <v>0.001</v>
      </c>
      <c r="AO193" s="7">
        <v>0.0001</v>
      </c>
      <c r="AP193" s="7">
        <v>0.0059</v>
      </c>
      <c r="AQ193" s="7">
        <v>0.0017</v>
      </c>
    </row>
    <row r="194" ht="30" customHeight="1">
      <c r="A194" s="6">
        <v>5637112</v>
      </c>
      <c r="C194" s="7" t="s">
        <v>43</v>
      </c>
      <c r="D194" s="7" t="s">
        <v>396</v>
      </c>
      <c r="E194" s="6">
        <v>0.027</v>
      </c>
      <c r="F194" s="7" t="s">
        <v>63</v>
      </c>
      <c r="G194" s="8">
        <v>42.06</v>
      </c>
      <c r="H194" s="9">
        <v>39160</v>
      </c>
      <c r="I194" s="10">
        <f t="shared" si="0"/>
        <v>19.58</v>
      </c>
      <c r="J194" s="10">
        <f t="shared" si="1"/>
        <v>391.6</v>
      </c>
      <c r="K194" s="7" t="s">
        <v>86</v>
      </c>
      <c r="L194" s="7">
        <v>52.8</v>
      </c>
      <c r="M194" s="7">
        <v>67.3</v>
      </c>
      <c r="N194" s="7">
        <v>26.6</v>
      </c>
      <c r="O194" s="7">
        <v>74</v>
      </c>
      <c r="P194" s="7">
        <v>56</v>
      </c>
      <c r="Q194" s="7">
        <v>67.2</v>
      </c>
      <c r="R194" s="7">
        <v>20.2</v>
      </c>
      <c r="V194" s="7" t="s">
        <v>355</v>
      </c>
      <c r="W194" s="7" t="s">
        <v>407</v>
      </c>
      <c r="Z194" s="7" t="s">
        <v>408</v>
      </c>
      <c r="AA194" s="7">
        <v>0.06</v>
      </c>
      <c r="AB194" s="7">
        <v>0.73</v>
      </c>
      <c r="AC194" s="7">
        <v>0.01</v>
      </c>
      <c r="AD194" s="7">
        <v>0.001</v>
      </c>
      <c r="AE194" s="7">
        <v>0.182</v>
      </c>
      <c r="AF194" s="7">
        <v>0.11</v>
      </c>
      <c r="AG194" s="7">
        <v>0.03</v>
      </c>
      <c r="AH194" s="7">
        <v>0.06</v>
      </c>
      <c r="AI194" s="7">
        <v>0.01</v>
      </c>
      <c r="AJ194" s="7">
        <v>0.003</v>
      </c>
      <c r="AK194" s="7">
        <v>0.047</v>
      </c>
      <c r="AL194" s="7">
        <v>0.004</v>
      </c>
      <c r="AM194" s="7">
        <v>0</v>
      </c>
      <c r="AN194" s="7">
        <v>0.052</v>
      </c>
      <c r="AO194" s="7">
        <v>0.0001</v>
      </c>
      <c r="AP194" s="7">
        <v>0.0069</v>
      </c>
      <c r="AQ194" s="7">
        <v>0.0019</v>
      </c>
    </row>
    <row r="195" ht="15" customHeight="1">
      <c r="A195" s="6">
        <v>5626112</v>
      </c>
      <c r="C195" s="7" t="s">
        <v>43</v>
      </c>
      <c r="D195" s="7" t="s">
        <v>396</v>
      </c>
      <c r="E195" s="6">
        <v>0.027</v>
      </c>
      <c r="F195" s="7" t="s">
        <v>45</v>
      </c>
      <c r="G195" s="8">
        <v>57.31</v>
      </c>
      <c r="H195" s="9">
        <v>39740</v>
      </c>
      <c r="I195" s="10">
        <f t="shared" si="0"/>
        <v>19.87</v>
      </c>
      <c r="J195" s="10">
        <f t="shared" si="1"/>
        <v>397.4</v>
      </c>
      <c r="K195" s="7" t="s">
        <v>68</v>
      </c>
      <c r="L195" s="7">
        <v>30.5</v>
      </c>
      <c r="M195" s="7">
        <v>48.7</v>
      </c>
      <c r="N195" s="7">
        <v>39.9</v>
      </c>
      <c r="O195" s="7">
        <v>43</v>
      </c>
      <c r="V195" s="7" t="s">
        <v>355</v>
      </c>
      <c r="AA195" s="7">
        <v>0.02</v>
      </c>
      <c r="AB195" s="7">
        <v>0.18</v>
      </c>
      <c r="AC195" s="7">
        <v>0.012</v>
      </c>
      <c r="AD195" s="7">
        <v>0.002</v>
      </c>
      <c r="AE195" s="7">
        <v>0.039</v>
      </c>
      <c r="AF195" s="7">
        <v>0.08</v>
      </c>
      <c r="AG195" s="7">
        <v>0.02</v>
      </c>
      <c r="AH195" s="7">
        <v>0.03</v>
      </c>
      <c r="AI195" s="7">
        <v>0.01</v>
      </c>
      <c r="AJ195" s="7">
        <v>0.002</v>
      </c>
      <c r="AK195" s="7">
        <v>0.039</v>
      </c>
      <c r="AL195" s="7">
        <v>0.001</v>
      </c>
      <c r="AM195" s="7">
        <v>0.001</v>
      </c>
      <c r="AN195" s="7">
        <v>0.002</v>
      </c>
      <c r="AO195" s="7">
        <v>0.0001</v>
      </c>
      <c r="AP195" s="7">
        <v>0.0046</v>
      </c>
      <c r="AQ195" s="7">
        <v>0.0017</v>
      </c>
    </row>
    <row r="196" ht="15" customHeight="1">
      <c r="A196" s="6">
        <v>5626111</v>
      </c>
      <c r="C196" s="7" t="s">
        <v>43</v>
      </c>
      <c r="D196" s="7" t="s">
        <v>396</v>
      </c>
      <c r="E196" s="6">
        <v>0.027</v>
      </c>
      <c r="F196" s="7" t="s">
        <v>45</v>
      </c>
      <c r="G196" s="8">
        <v>57.31</v>
      </c>
      <c r="H196" s="9">
        <v>40100</v>
      </c>
      <c r="I196" s="10">
        <f t="shared" si="0"/>
        <v>20.05</v>
      </c>
      <c r="J196" s="10">
        <f t="shared" si="1"/>
        <v>401</v>
      </c>
      <c r="K196" s="7" t="s">
        <v>68</v>
      </c>
      <c r="L196" s="7">
        <v>30.5</v>
      </c>
      <c r="M196" s="7">
        <v>49.2</v>
      </c>
      <c r="N196" s="7">
        <v>40.1</v>
      </c>
      <c r="O196" s="7">
        <v>43</v>
      </c>
      <c r="V196" s="7" t="s">
        <v>355</v>
      </c>
      <c r="AA196" s="7">
        <v>0.02</v>
      </c>
      <c r="AB196" s="7">
        <v>0.18</v>
      </c>
      <c r="AC196" s="7">
        <v>0.012</v>
      </c>
      <c r="AD196" s="7">
        <v>0.002</v>
      </c>
      <c r="AE196" s="7">
        <v>0.039</v>
      </c>
      <c r="AF196" s="7">
        <v>0.08</v>
      </c>
      <c r="AG196" s="7">
        <v>0.02</v>
      </c>
      <c r="AH196" s="7">
        <v>0.03</v>
      </c>
      <c r="AI196" s="7">
        <v>0.01</v>
      </c>
      <c r="AJ196" s="7">
        <v>0.002</v>
      </c>
      <c r="AK196" s="7">
        <v>0.039</v>
      </c>
      <c r="AL196" s="7">
        <v>0.001</v>
      </c>
      <c r="AM196" s="7">
        <v>0.001</v>
      </c>
      <c r="AN196" s="7">
        <v>0.002</v>
      </c>
      <c r="AO196" s="7">
        <v>0.0001</v>
      </c>
      <c r="AP196" s="7">
        <v>0.0046</v>
      </c>
      <c r="AQ196" s="7">
        <v>0.0017</v>
      </c>
    </row>
    <row r="197" ht="45" customHeight="1">
      <c r="A197" s="6">
        <v>5620616</v>
      </c>
      <c r="C197" s="7" t="s">
        <v>43</v>
      </c>
      <c r="D197" s="7" t="s">
        <v>396</v>
      </c>
      <c r="E197" s="6">
        <v>0.028</v>
      </c>
      <c r="F197" s="7" t="s">
        <v>63</v>
      </c>
      <c r="G197" s="8">
        <v>48.13</v>
      </c>
      <c r="H197" s="9">
        <v>43140</v>
      </c>
      <c r="I197" s="10">
        <f t="shared" si="0"/>
        <v>21.57</v>
      </c>
      <c r="J197" s="10">
        <f t="shared" si="1"/>
        <v>431.4</v>
      </c>
      <c r="K197" s="7" t="s">
        <v>333</v>
      </c>
      <c r="L197" s="7">
        <v>52.6</v>
      </c>
      <c r="M197" s="7">
        <v>72.9</v>
      </c>
      <c r="N197" s="7">
        <v>25</v>
      </c>
      <c r="V197" s="7" t="s">
        <v>355</v>
      </c>
      <c r="W197" s="7" t="s">
        <v>405</v>
      </c>
      <c r="X197" s="7" t="s">
        <v>403</v>
      </c>
      <c r="Y197" s="7" t="s">
        <v>409</v>
      </c>
      <c r="Z197" s="7" t="s">
        <v>410</v>
      </c>
      <c r="AA197" s="7">
        <v>0.06</v>
      </c>
      <c r="AB197" s="7">
        <v>0.95</v>
      </c>
      <c r="AC197" s="7">
        <v>0.024</v>
      </c>
      <c r="AD197" s="7">
        <v>0.002</v>
      </c>
      <c r="AE197" s="7">
        <v>0.348</v>
      </c>
      <c r="AF197" s="7">
        <v>0.35</v>
      </c>
      <c r="AG197" s="7">
        <v>0.03</v>
      </c>
      <c r="AH197" s="7">
        <v>0.41</v>
      </c>
      <c r="AI197" s="7">
        <v>0.01</v>
      </c>
      <c r="AJ197" s="7">
        <v>0.004</v>
      </c>
      <c r="AK197" s="7">
        <v>0.028</v>
      </c>
      <c r="AL197" s="7">
        <v>0.024</v>
      </c>
      <c r="AM197" s="7">
        <v>0.013</v>
      </c>
      <c r="AN197" s="7">
        <v>0.011</v>
      </c>
      <c r="AO197" s="7">
        <v>0.0006</v>
      </c>
      <c r="AP197" s="7">
        <v>0.0065</v>
      </c>
      <c r="AQ197" s="7">
        <v>0.0017</v>
      </c>
    </row>
    <row r="198" ht="30" customHeight="1">
      <c r="A198" s="6">
        <v>5636955</v>
      </c>
      <c r="C198" s="7" t="s">
        <v>43</v>
      </c>
      <c r="D198" s="7" t="s">
        <v>396</v>
      </c>
      <c r="E198" s="6">
        <v>0.028</v>
      </c>
      <c r="F198" s="7" t="s">
        <v>63</v>
      </c>
      <c r="G198" s="8">
        <v>48.19</v>
      </c>
      <c r="H198" s="9">
        <v>38940</v>
      </c>
      <c r="I198" s="10">
        <f t="shared" si="0"/>
        <v>19.47</v>
      </c>
      <c r="J198" s="10">
        <f t="shared" si="1"/>
        <v>389.4</v>
      </c>
      <c r="K198" s="7" t="s">
        <v>333</v>
      </c>
      <c r="L198" s="7">
        <v>53.1</v>
      </c>
      <c r="M198" s="7">
        <v>73</v>
      </c>
      <c r="N198" s="7">
        <v>25.9</v>
      </c>
      <c r="V198" s="7" t="s">
        <v>355</v>
      </c>
      <c r="W198" s="7" t="s">
        <v>405</v>
      </c>
      <c r="X198" s="7" t="s">
        <v>411</v>
      </c>
      <c r="Z198" s="7" t="s">
        <v>412</v>
      </c>
      <c r="AA198" s="7">
        <v>0.06</v>
      </c>
      <c r="AB198" s="7">
        <v>0.91</v>
      </c>
      <c r="AC198" s="7">
        <v>0.025</v>
      </c>
      <c r="AD198" s="7">
        <v>0.002</v>
      </c>
      <c r="AE198" s="7">
        <v>0.31</v>
      </c>
      <c r="AF198" s="7">
        <v>0.36</v>
      </c>
      <c r="AG198" s="7">
        <v>0.02</v>
      </c>
      <c r="AH198" s="7">
        <v>0.46</v>
      </c>
      <c r="AI198" s="7">
        <v>0.01</v>
      </c>
      <c r="AJ198" s="7">
        <v>0.003</v>
      </c>
      <c r="AK198" s="7">
        <v>0.028</v>
      </c>
      <c r="AL198" s="7">
        <v>0.025</v>
      </c>
      <c r="AM198" s="7">
        <v>0.014</v>
      </c>
      <c r="AN198" s="7">
        <v>0.011</v>
      </c>
      <c r="AO198" s="7">
        <v>0.0006</v>
      </c>
      <c r="AP198" s="7">
        <v>0.0056</v>
      </c>
      <c r="AQ198" s="7">
        <v>0.0015</v>
      </c>
    </row>
    <row r="199" ht="30" customHeight="1">
      <c r="A199" s="6">
        <v>5681613</v>
      </c>
      <c r="C199" s="7" t="s">
        <v>43</v>
      </c>
      <c r="D199" s="7" t="s">
        <v>396</v>
      </c>
      <c r="E199" s="6">
        <v>0.028</v>
      </c>
      <c r="F199" s="7" t="s">
        <v>63</v>
      </c>
      <c r="G199" s="8">
        <v>56.13</v>
      </c>
      <c r="H199" s="9">
        <v>45200</v>
      </c>
      <c r="I199" s="10">
        <f t="shared" si="0"/>
        <v>22.6</v>
      </c>
      <c r="J199" s="10">
        <f t="shared" si="1"/>
        <v>452</v>
      </c>
      <c r="K199" s="7" t="s">
        <v>333</v>
      </c>
      <c r="L199" s="7">
        <v>56</v>
      </c>
      <c r="M199" s="7">
        <v>76.2</v>
      </c>
      <c r="N199" s="7">
        <v>25.1</v>
      </c>
      <c r="V199" s="7" t="s">
        <v>355</v>
      </c>
      <c r="W199" s="7" t="s">
        <v>405</v>
      </c>
      <c r="X199" s="7" t="s">
        <v>411</v>
      </c>
      <c r="Z199" s="7" t="s">
        <v>413</v>
      </c>
      <c r="AA199" s="7">
        <v>0.05</v>
      </c>
      <c r="AB199" s="7">
        <v>0.95</v>
      </c>
      <c r="AC199" s="7">
        <v>0.025</v>
      </c>
      <c r="AD199" s="7">
        <v>0.002</v>
      </c>
      <c r="AE199" s="7">
        <v>0.336</v>
      </c>
      <c r="AF199" s="7">
        <v>0.33</v>
      </c>
      <c r="AG199" s="7">
        <v>0.03</v>
      </c>
      <c r="AH199" s="7">
        <v>0.46</v>
      </c>
      <c r="AI199" s="7">
        <v>0.01</v>
      </c>
      <c r="AJ199" s="7">
        <v>0.003</v>
      </c>
      <c r="AK199" s="7">
        <v>0.026</v>
      </c>
      <c r="AL199" s="7">
        <v>0.025</v>
      </c>
      <c r="AM199" s="7">
        <v>0.015</v>
      </c>
      <c r="AN199" s="7">
        <v>0.013</v>
      </c>
      <c r="AO199" s="7">
        <v>0.0006</v>
      </c>
      <c r="AP199" s="7">
        <v>0.0052</v>
      </c>
      <c r="AQ199" s="7">
        <v>0.0023</v>
      </c>
    </row>
    <row r="200" ht="30" customHeight="1">
      <c r="A200" s="6">
        <v>5681612</v>
      </c>
      <c r="C200" s="7" t="s">
        <v>43</v>
      </c>
      <c r="D200" s="7" t="s">
        <v>396</v>
      </c>
      <c r="E200" s="6">
        <v>0.029</v>
      </c>
      <c r="F200" s="7" t="s">
        <v>63</v>
      </c>
      <c r="G200" s="8">
        <v>56.13</v>
      </c>
      <c r="H200" s="9">
        <v>45140</v>
      </c>
      <c r="I200" s="10">
        <f t="shared" si="0"/>
        <v>22.57</v>
      </c>
      <c r="J200" s="10">
        <f t="shared" si="1"/>
        <v>451.4</v>
      </c>
      <c r="K200" s="7" t="s">
        <v>333</v>
      </c>
      <c r="L200" s="7">
        <v>55.6</v>
      </c>
      <c r="M200" s="7">
        <v>75.8</v>
      </c>
      <c r="N200" s="7">
        <v>24.8</v>
      </c>
      <c r="V200" s="7" t="s">
        <v>355</v>
      </c>
      <c r="W200" s="7" t="s">
        <v>414</v>
      </c>
      <c r="X200" s="7" t="s">
        <v>73</v>
      </c>
      <c r="Z200" s="7" t="s">
        <v>415</v>
      </c>
      <c r="AA200" s="7">
        <v>0.05</v>
      </c>
      <c r="AB200" s="7">
        <v>0.95</v>
      </c>
      <c r="AC200" s="7">
        <v>0.026</v>
      </c>
      <c r="AD200" s="7">
        <v>0.002</v>
      </c>
      <c r="AE200" s="7">
        <v>0.335</v>
      </c>
      <c r="AF200" s="7">
        <v>0.32</v>
      </c>
      <c r="AG200" s="7">
        <v>0.03</v>
      </c>
      <c r="AH200" s="7">
        <v>0.45</v>
      </c>
      <c r="AI200" s="7">
        <v>0.01</v>
      </c>
      <c r="AJ200" s="7">
        <v>0.004</v>
      </c>
      <c r="AK200" s="7">
        <v>0.029</v>
      </c>
      <c r="AL200" s="7">
        <v>0.025</v>
      </c>
      <c r="AM200" s="7">
        <v>0.015</v>
      </c>
      <c r="AN200" s="7">
        <v>0.013</v>
      </c>
      <c r="AO200" s="7">
        <v>0.0006</v>
      </c>
      <c r="AP200" s="7">
        <v>0.0049</v>
      </c>
      <c r="AQ200" s="7">
        <v>0.0014</v>
      </c>
    </row>
    <row r="201" ht="30" customHeight="1">
      <c r="A201" s="6">
        <v>5623552</v>
      </c>
      <c r="C201" s="7" t="s">
        <v>43</v>
      </c>
      <c r="D201" s="7" t="s">
        <v>396</v>
      </c>
      <c r="E201" s="6">
        <v>0.03</v>
      </c>
      <c r="F201" s="7" t="s">
        <v>63</v>
      </c>
      <c r="G201" s="8">
        <v>59.13</v>
      </c>
      <c r="H201" s="9">
        <v>42020</v>
      </c>
      <c r="I201" s="10">
        <f t="shared" si="0"/>
        <v>21.01</v>
      </c>
      <c r="J201" s="10">
        <f t="shared" si="1"/>
        <v>420.2</v>
      </c>
      <c r="K201" s="7" t="s">
        <v>68</v>
      </c>
      <c r="O201" s="7">
        <v>43</v>
      </c>
      <c r="V201" s="7" t="s">
        <v>355</v>
      </c>
      <c r="W201" s="7" t="s">
        <v>416</v>
      </c>
      <c r="X201" s="7" t="s">
        <v>417</v>
      </c>
      <c r="Z201" s="7" t="s">
        <v>418</v>
      </c>
      <c r="AA201" s="7">
        <v>0.02</v>
      </c>
      <c r="AB201" s="7">
        <v>0.14</v>
      </c>
      <c r="AC201" s="7">
        <v>0.01</v>
      </c>
      <c r="AD201" s="7">
        <v>0.003</v>
      </c>
      <c r="AE201" s="7">
        <v>0.027</v>
      </c>
      <c r="AF201" s="7">
        <v>0.08</v>
      </c>
      <c r="AG201" s="7">
        <v>0.03</v>
      </c>
      <c r="AH201" s="7">
        <v>0.03</v>
      </c>
      <c r="AI201" s="7">
        <v>0.01</v>
      </c>
      <c r="AJ201" s="7">
        <v>0.002</v>
      </c>
      <c r="AK201" s="7">
        <v>0.046</v>
      </c>
      <c r="AL201" s="7">
        <v>0.001</v>
      </c>
      <c r="AM201" s="7">
        <v>0.001</v>
      </c>
      <c r="AN201" s="7">
        <v>0</v>
      </c>
      <c r="AO201" s="7">
        <v>0.0009</v>
      </c>
      <c r="AP201" s="7">
        <v>0.0052</v>
      </c>
      <c r="AQ201" s="7">
        <v>0.001</v>
      </c>
    </row>
    <row r="202" ht="30" customHeight="1">
      <c r="A202" s="6">
        <v>5115611</v>
      </c>
      <c r="C202" s="7" t="s">
        <v>51</v>
      </c>
      <c r="D202" s="7" t="s">
        <v>396</v>
      </c>
      <c r="E202" s="6">
        <v>0.032</v>
      </c>
      <c r="F202" s="7" t="s">
        <v>45</v>
      </c>
      <c r="G202" s="8">
        <v>50.88</v>
      </c>
      <c r="H202" s="9">
        <v>40680</v>
      </c>
      <c r="I202" s="10">
        <f t="shared" si="0"/>
        <v>20.34</v>
      </c>
      <c r="J202" s="10">
        <f t="shared" si="1"/>
        <v>406.8</v>
      </c>
      <c r="K202" s="7" t="s">
        <v>77</v>
      </c>
      <c r="L202" s="7">
        <v>47.9</v>
      </c>
      <c r="M202" s="7">
        <v>75</v>
      </c>
      <c r="N202" s="7">
        <v>26.1</v>
      </c>
      <c r="O202" s="7">
        <v>65</v>
      </c>
      <c r="V202" s="7" t="s">
        <v>355</v>
      </c>
      <c r="W202" s="7" t="s">
        <v>403</v>
      </c>
      <c r="X202" s="7" t="s">
        <v>419</v>
      </c>
      <c r="Z202" s="7" t="s">
        <v>420</v>
      </c>
      <c r="AA202" s="7">
        <v>0.32</v>
      </c>
      <c r="AB202" s="7">
        <v>0.75</v>
      </c>
      <c r="AC202" s="7">
        <v>0.009</v>
      </c>
      <c r="AD202" s="7">
        <v>0.001</v>
      </c>
      <c r="AE202" s="7">
        <v>0.039</v>
      </c>
      <c r="AF202" s="7">
        <v>0.12</v>
      </c>
      <c r="AG202" s="7">
        <v>0.03</v>
      </c>
      <c r="AH202" s="7">
        <v>0.05</v>
      </c>
      <c r="AI202" s="7">
        <v>0.01</v>
      </c>
      <c r="AJ202" s="7">
        <v>0.002</v>
      </c>
      <c r="AK202" s="7">
        <v>0.025</v>
      </c>
      <c r="AL202" s="7">
        <v>0.008</v>
      </c>
      <c r="AM202" s="7">
        <v>0.002</v>
      </c>
      <c r="AN202" s="7">
        <v>0</v>
      </c>
      <c r="AO202" s="7">
        <v>0.0001</v>
      </c>
      <c r="AP202" s="7">
        <v>0.0073</v>
      </c>
      <c r="AQ202" s="7">
        <v>0.0017</v>
      </c>
    </row>
    <row r="203" ht="30" customHeight="1">
      <c r="A203" s="6">
        <v>5586072.001</v>
      </c>
      <c r="C203" s="7" t="s">
        <v>51</v>
      </c>
      <c r="D203" s="7" t="s">
        <v>396</v>
      </c>
      <c r="E203" s="6">
        <v>0.035</v>
      </c>
      <c r="F203" s="7" t="s">
        <v>63</v>
      </c>
      <c r="G203" s="8">
        <v>54.06</v>
      </c>
      <c r="H203" s="9">
        <v>23240</v>
      </c>
      <c r="I203" s="10">
        <f t="shared" si="0"/>
        <v>11.62</v>
      </c>
      <c r="J203" s="10">
        <f t="shared" si="1"/>
        <v>232.4</v>
      </c>
      <c r="K203" s="7" t="s">
        <v>90</v>
      </c>
      <c r="L203" s="7">
        <v>24.7</v>
      </c>
      <c r="M203" s="7">
        <v>46</v>
      </c>
      <c r="N203" s="7">
        <v>44.5</v>
      </c>
      <c r="O203" s="7">
        <v>45</v>
      </c>
      <c r="V203" s="7" t="s">
        <v>355</v>
      </c>
      <c r="W203" s="7" t="s">
        <v>421</v>
      </c>
      <c r="X203" s="7" t="s">
        <v>422</v>
      </c>
      <c r="Y203" s="7" t="s">
        <v>115</v>
      </c>
      <c r="Z203" s="7" t="s">
        <v>423</v>
      </c>
      <c r="AA203" s="7">
        <v>0.05</v>
      </c>
      <c r="AB203" s="7">
        <v>0.18</v>
      </c>
      <c r="AC203" s="7">
        <v>0.011</v>
      </c>
      <c r="AD203" s="7">
        <v>0.003</v>
      </c>
      <c r="AE203" s="7">
        <v>0.021</v>
      </c>
      <c r="AF203" s="7">
        <v>0.11</v>
      </c>
      <c r="AG203" s="7">
        <v>0.03</v>
      </c>
      <c r="AH203" s="7">
        <v>0.04</v>
      </c>
      <c r="AI203" s="7">
        <v>0.01</v>
      </c>
      <c r="AJ203" s="7">
        <v>0.003</v>
      </c>
      <c r="AK203" s="7">
        <v>0.026</v>
      </c>
      <c r="AL203" s="7">
        <v>0.002</v>
      </c>
      <c r="AM203" s="7">
        <v>0.001</v>
      </c>
      <c r="AN203" s="7">
        <v>0.001</v>
      </c>
      <c r="AO203" s="7">
        <v>0.0001</v>
      </c>
      <c r="AP203" s="7">
        <v>0.0052</v>
      </c>
      <c r="AQ203" s="7">
        <v>0.0023</v>
      </c>
    </row>
    <row r="204" ht="60" customHeight="1">
      <c r="A204" s="6">
        <v>5628613</v>
      </c>
      <c r="C204" s="7" t="s">
        <v>43</v>
      </c>
      <c r="D204" s="7" t="s">
        <v>396</v>
      </c>
      <c r="E204" s="6">
        <v>0.036</v>
      </c>
      <c r="F204" s="7" t="s">
        <v>63</v>
      </c>
      <c r="G204" s="8">
        <v>48</v>
      </c>
      <c r="H204" s="9">
        <v>43000</v>
      </c>
      <c r="I204" s="10">
        <f t="shared" si="0"/>
        <v>21.5</v>
      </c>
      <c r="J204" s="10">
        <f t="shared" si="1"/>
        <v>430</v>
      </c>
      <c r="K204" s="7" t="s">
        <v>162</v>
      </c>
      <c r="L204" s="7">
        <v>78</v>
      </c>
      <c r="M204" s="7">
        <v>91.1</v>
      </c>
      <c r="N204" s="7">
        <v>19.7</v>
      </c>
      <c r="O204" s="7">
        <v>88</v>
      </c>
      <c r="V204" s="7" t="s">
        <v>355</v>
      </c>
      <c r="W204" s="7" t="s">
        <v>397</v>
      </c>
      <c r="X204" s="7" t="s">
        <v>424</v>
      </c>
      <c r="Z204" s="7" t="s">
        <v>425</v>
      </c>
      <c r="AA204" s="7">
        <v>0.06</v>
      </c>
      <c r="AB204" s="7">
        <v>0.78</v>
      </c>
      <c r="AC204" s="7">
        <v>0.007</v>
      </c>
      <c r="AD204" s="7">
        <v>0.001</v>
      </c>
      <c r="AE204" s="7">
        <v>0.193</v>
      </c>
      <c r="AF204" s="7">
        <v>0.1</v>
      </c>
      <c r="AG204" s="7">
        <v>0.03</v>
      </c>
      <c r="AH204" s="7">
        <v>0.04</v>
      </c>
      <c r="AI204" s="7">
        <v>0.02</v>
      </c>
      <c r="AJ204" s="7">
        <v>0.003</v>
      </c>
      <c r="AK204" s="7">
        <v>0.053</v>
      </c>
      <c r="AL204" s="7">
        <v>0.006</v>
      </c>
      <c r="AM204" s="7">
        <v>0.015</v>
      </c>
      <c r="AN204" s="7">
        <v>0.093</v>
      </c>
      <c r="AO204" s="7">
        <v>0.0005</v>
      </c>
      <c r="AP204" s="7">
        <v>0.0063</v>
      </c>
      <c r="AQ204" s="7">
        <v>0.0022</v>
      </c>
    </row>
    <row r="205" ht="45" customHeight="1">
      <c r="A205" s="6">
        <v>5628614.001</v>
      </c>
      <c r="C205" s="7" t="s">
        <v>43</v>
      </c>
      <c r="D205" s="7" t="s">
        <v>396</v>
      </c>
      <c r="E205" s="6">
        <v>0.036</v>
      </c>
      <c r="F205" s="7" t="s">
        <v>63</v>
      </c>
      <c r="G205" s="8">
        <v>48.13</v>
      </c>
      <c r="H205" s="9">
        <v>43000</v>
      </c>
      <c r="I205" s="10">
        <f t="shared" si="0"/>
        <v>21.5</v>
      </c>
      <c r="J205" s="10">
        <f t="shared" si="1"/>
        <v>430</v>
      </c>
      <c r="K205" s="7" t="s">
        <v>162</v>
      </c>
      <c r="L205" s="7">
        <v>75.5</v>
      </c>
      <c r="M205" s="7">
        <v>89.5</v>
      </c>
      <c r="N205" s="7">
        <v>20.7</v>
      </c>
      <c r="O205" s="7">
        <v>84</v>
      </c>
      <c r="V205" s="7" t="s">
        <v>355</v>
      </c>
      <c r="W205" s="7" t="s">
        <v>426</v>
      </c>
      <c r="X205" s="7" t="s">
        <v>305</v>
      </c>
      <c r="Z205" s="7" t="s">
        <v>427</v>
      </c>
      <c r="AA205" s="7">
        <v>0.06</v>
      </c>
      <c r="AB205" s="7">
        <v>0.78</v>
      </c>
      <c r="AC205" s="7">
        <v>0.007</v>
      </c>
      <c r="AD205" s="7">
        <v>0.001</v>
      </c>
      <c r="AE205" s="7">
        <v>0.193</v>
      </c>
      <c r="AF205" s="7">
        <v>0.1</v>
      </c>
      <c r="AG205" s="7">
        <v>0.03</v>
      </c>
      <c r="AH205" s="7">
        <v>0.04</v>
      </c>
      <c r="AI205" s="7">
        <v>0.02</v>
      </c>
      <c r="AJ205" s="7">
        <v>0.003</v>
      </c>
      <c r="AK205" s="7">
        <v>0.053</v>
      </c>
      <c r="AL205" s="7">
        <v>0.006</v>
      </c>
      <c r="AM205" s="7">
        <v>0.015</v>
      </c>
      <c r="AN205" s="7">
        <v>0.093</v>
      </c>
      <c r="AO205" s="7">
        <v>0.0005</v>
      </c>
      <c r="AP205" s="7">
        <v>0.0063</v>
      </c>
      <c r="AQ205" s="7">
        <v>0.0022</v>
      </c>
    </row>
    <row r="206" ht="15" customHeight="1">
      <c r="A206" s="6">
        <v>5631716.001</v>
      </c>
      <c r="C206" s="7" t="s">
        <v>43</v>
      </c>
      <c r="D206" s="7" t="s">
        <v>396</v>
      </c>
      <c r="E206" s="6">
        <v>0.037</v>
      </c>
      <c r="F206" s="7" t="s">
        <v>63</v>
      </c>
      <c r="G206" s="8">
        <v>48</v>
      </c>
      <c r="H206" s="9">
        <v>40960</v>
      </c>
      <c r="I206" s="10">
        <f t="shared" si="0"/>
        <v>20.48</v>
      </c>
      <c r="J206" s="10">
        <f t="shared" si="1"/>
        <v>409.6</v>
      </c>
      <c r="K206" s="7" t="s">
        <v>162</v>
      </c>
      <c r="L206" s="7">
        <v>79.4</v>
      </c>
      <c r="M206" s="7">
        <v>93</v>
      </c>
      <c r="N206" s="7">
        <v>17.9</v>
      </c>
      <c r="O206" s="7">
        <v>88</v>
      </c>
      <c r="V206" s="7" t="s">
        <v>355</v>
      </c>
      <c r="W206" s="7" t="s">
        <v>428</v>
      </c>
      <c r="Z206" s="7" t="s">
        <v>429</v>
      </c>
      <c r="AA206" s="7">
        <v>0.05</v>
      </c>
      <c r="AB206" s="7">
        <v>0.74</v>
      </c>
      <c r="AC206" s="7">
        <v>0.01</v>
      </c>
      <c r="AD206" s="7">
        <v>0.001</v>
      </c>
      <c r="AE206" s="7">
        <v>0.188</v>
      </c>
      <c r="AF206" s="7">
        <v>0.1</v>
      </c>
      <c r="AG206" s="7">
        <v>0.03</v>
      </c>
      <c r="AH206" s="7">
        <v>0.05</v>
      </c>
      <c r="AI206" s="7">
        <v>0.02</v>
      </c>
      <c r="AJ206" s="7">
        <v>0.003</v>
      </c>
      <c r="AK206" s="7">
        <v>0.052</v>
      </c>
      <c r="AL206" s="7">
        <v>0.007</v>
      </c>
      <c r="AM206" s="7">
        <v>0.013</v>
      </c>
      <c r="AN206" s="7">
        <v>0.09</v>
      </c>
      <c r="AO206" s="7">
        <v>0.0009</v>
      </c>
      <c r="AP206" s="7">
        <v>0.0053</v>
      </c>
      <c r="AQ206" s="7">
        <v>0.0019</v>
      </c>
    </row>
    <row r="207" ht="30" customHeight="1">
      <c r="A207" s="6">
        <v>5601775.001</v>
      </c>
      <c r="C207" s="7" t="s">
        <v>51</v>
      </c>
      <c r="D207" s="7" t="s">
        <v>396</v>
      </c>
      <c r="E207" s="6">
        <v>0.037</v>
      </c>
      <c r="F207" s="7" t="s">
        <v>45</v>
      </c>
      <c r="G207" s="8">
        <v>48</v>
      </c>
      <c r="H207" s="9">
        <v>41540</v>
      </c>
      <c r="I207" s="10">
        <f t="shared" si="0"/>
        <v>20.77</v>
      </c>
      <c r="J207" s="10">
        <f t="shared" si="1"/>
        <v>415.4</v>
      </c>
      <c r="K207" s="7" t="s">
        <v>162</v>
      </c>
      <c r="L207" s="7">
        <v>78.3</v>
      </c>
      <c r="M207" s="7">
        <v>90</v>
      </c>
      <c r="N207" s="7">
        <v>16.8</v>
      </c>
      <c r="O207" s="7">
        <v>89</v>
      </c>
      <c r="V207" s="7" t="s">
        <v>355</v>
      </c>
      <c r="W207" s="7" t="s">
        <v>430</v>
      </c>
      <c r="X207" s="7" t="s">
        <v>375</v>
      </c>
      <c r="Y207" s="7" t="s">
        <v>431</v>
      </c>
      <c r="AA207" s="7">
        <v>0.05</v>
      </c>
      <c r="AB207" s="7">
        <v>0.74</v>
      </c>
      <c r="AC207" s="7">
        <v>0.01</v>
      </c>
      <c r="AD207" s="7">
        <v>0.001</v>
      </c>
      <c r="AE207" s="7">
        <v>0.188</v>
      </c>
      <c r="AF207" s="7">
        <v>0.1</v>
      </c>
      <c r="AG207" s="7">
        <v>0.03</v>
      </c>
      <c r="AH207" s="7">
        <v>0.05</v>
      </c>
      <c r="AI207" s="7">
        <v>0.02</v>
      </c>
      <c r="AJ207" s="7">
        <v>0.003</v>
      </c>
      <c r="AK207" s="7">
        <v>0.052</v>
      </c>
      <c r="AL207" s="7">
        <v>0.007</v>
      </c>
      <c r="AM207" s="7">
        <v>0.013</v>
      </c>
      <c r="AN207" s="7">
        <v>0.09</v>
      </c>
      <c r="AO207" s="7">
        <v>0.0009</v>
      </c>
      <c r="AP207" s="7">
        <v>0.0053</v>
      </c>
      <c r="AQ207" s="7">
        <v>0.0019</v>
      </c>
    </row>
    <row r="208" ht="45" customHeight="1">
      <c r="A208" s="6">
        <v>5628619.001</v>
      </c>
      <c r="C208" s="7" t="s">
        <v>51</v>
      </c>
      <c r="D208" s="7" t="s">
        <v>396</v>
      </c>
      <c r="E208" s="6">
        <v>0.037</v>
      </c>
      <c r="F208" s="7" t="s">
        <v>63</v>
      </c>
      <c r="G208" s="8">
        <v>48.06</v>
      </c>
      <c r="H208" s="9">
        <v>41240</v>
      </c>
      <c r="I208" s="10">
        <f t="shared" si="0"/>
        <v>20.62</v>
      </c>
      <c r="J208" s="10">
        <f t="shared" si="1"/>
        <v>412.4</v>
      </c>
      <c r="K208" s="7" t="s">
        <v>162</v>
      </c>
      <c r="L208" s="7">
        <v>78.8</v>
      </c>
      <c r="M208" s="7">
        <v>91.4</v>
      </c>
      <c r="N208" s="7">
        <v>18.6</v>
      </c>
      <c r="O208" s="7">
        <v>87</v>
      </c>
      <c r="V208" s="7" t="s">
        <v>355</v>
      </c>
      <c r="W208" s="7" t="s">
        <v>432</v>
      </c>
      <c r="X208" s="7" t="s">
        <v>414</v>
      </c>
      <c r="Y208" s="7" t="s">
        <v>433</v>
      </c>
      <c r="Z208" s="7" t="s">
        <v>434</v>
      </c>
      <c r="AA208" s="7">
        <v>0.04</v>
      </c>
      <c r="AB208" s="7">
        <v>0.77</v>
      </c>
      <c r="AC208" s="7">
        <v>0.008</v>
      </c>
      <c r="AD208" s="7">
        <v>0.002</v>
      </c>
      <c r="AE208" s="7">
        <v>0.177</v>
      </c>
      <c r="AF208" s="7">
        <v>0.09</v>
      </c>
      <c r="AG208" s="7">
        <v>0.03</v>
      </c>
      <c r="AH208" s="7">
        <v>0.04</v>
      </c>
      <c r="AI208" s="7">
        <v>0.01</v>
      </c>
      <c r="AJ208" s="7">
        <v>0.003</v>
      </c>
      <c r="AK208" s="7">
        <v>0.053</v>
      </c>
      <c r="AL208" s="7">
        <v>0.006</v>
      </c>
      <c r="AM208" s="7">
        <v>0.014</v>
      </c>
      <c r="AN208" s="7">
        <v>0.092</v>
      </c>
      <c r="AO208" s="7">
        <v>0.0005</v>
      </c>
      <c r="AP208" s="7">
        <v>0.007</v>
      </c>
      <c r="AQ208" s="7">
        <v>0.0025</v>
      </c>
    </row>
    <row r="209" ht="15" customHeight="1">
      <c r="A209" s="6">
        <v>5633439.001</v>
      </c>
      <c r="C209" s="7" t="s">
        <v>43</v>
      </c>
      <c r="D209" s="7" t="s">
        <v>396</v>
      </c>
      <c r="E209" s="6">
        <v>0.037</v>
      </c>
      <c r="F209" s="7" t="s">
        <v>63</v>
      </c>
      <c r="G209" s="8">
        <v>48.06</v>
      </c>
      <c r="H209" s="9">
        <v>42140</v>
      </c>
      <c r="I209" s="10">
        <f t="shared" si="0"/>
        <v>21.07</v>
      </c>
      <c r="J209" s="10">
        <f t="shared" si="1"/>
        <v>421.4</v>
      </c>
      <c r="K209" s="7" t="s">
        <v>162</v>
      </c>
      <c r="L209" s="7">
        <v>82</v>
      </c>
      <c r="M209" s="7">
        <v>95.1</v>
      </c>
      <c r="N209" s="7">
        <v>18.5</v>
      </c>
      <c r="O209" s="7">
        <v>89</v>
      </c>
      <c r="V209" s="7" t="s">
        <v>355</v>
      </c>
      <c r="W209" s="7" t="s">
        <v>435</v>
      </c>
      <c r="Z209" s="7" t="s">
        <v>436</v>
      </c>
      <c r="AA209" s="7">
        <v>0.05</v>
      </c>
      <c r="AB209" s="7">
        <v>0.74</v>
      </c>
      <c r="AC209" s="7">
        <v>0.01</v>
      </c>
      <c r="AD209" s="7">
        <v>0.001</v>
      </c>
      <c r="AE209" s="7">
        <v>0.188</v>
      </c>
      <c r="AF209" s="7">
        <v>0.1</v>
      </c>
      <c r="AG209" s="7">
        <v>0.03</v>
      </c>
      <c r="AH209" s="7">
        <v>0.05</v>
      </c>
      <c r="AI209" s="7">
        <v>0.02</v>
      </c>
      <c r="AJ209" s="7">
        <v>0.003</v>
      </c>
      <c r="AK209" s="7">
        <v>0.052</v>
      </c>
      <c r="AL209" s="7">
        <v>0.007</v>
      </c>
      <c r="AM209" s="7">
        <v>0.013</v>
      </c>
      <c r="AN209" s="7">
        <v>0.09</v>
      </c>
      <c r="AO209" s="7">
        <v>0.0009</v>
      </c>
      <c r="AP209" s="7">
        <v>0.0053</v>
      </c>
      <c r="AQ209" s="7">
        <v>0.0019</v>
      </c>
    </row>
    <row r="210" ht="15" customHeight="1">
      <c r="A210" s="6">
        <v>5628608</v>
      </c>
      <c r="C210" s="7" t="s">
        <v>43</v>
      </c>
      <c r="D210" s="7" t="s">
        <v>396</v>
      </c>
      <c r="E210" s="6">
        <v>0.037</v>
      </c>
      <c r="F210" s="7" t="s">
        <v>63</v>
      </c>
      <c r="G210" s="8">
        <v>48.06</v>
      </c>
      <c r="H210" s="9">
        <v>44660</v>
      </c>
      <c r="I210" s="10">
        <f t="shared" si="0"/>
        <v>22.33</v>
      </c>
      <c r="J210" s="10">
        <f t="shared" si="1"/>
        <v>446.6</v>
      </c>
      <c r="K210" s="7" t="s">
        <v>162</v>
      </c>
      <c r="L210" s="7">
        <v>80.5</v>
      </c>
      <c r="M210" s="7">
        <v>93.2</v>
      </c>
      <c r="N210" s="7">
        <v>18.7</v>
      </c>
      <c r="O210" s="7">
        <v>88</v>
      </c>
      <c r="V210" s="7" t="s">
        <v>355</v>
      </c>
      <c r="W210" s="7" t="s">
        <v>437</v>
      </c>
      <c r="Z210" s="7" t="s">
        <v>436</v>
      </c>
      <c r="AA210" s="7">
        <v>0.04</v>
      </c>
      <c r="AB210" s="7">
        <v>0.73</v>
      </c>
      <c r="AC210" s="7">
        <v>0.011</v>
      </c>
      <c r="AD210" s="7">
        <v>0.002</v>
      </c>
      <c r="AE210" s="7">
        <v>0.194</v>
      </c>
      <c r="AF210" s="7">
        <v>0.1</v>
      </c>
      <c r="AG210" s="7">
        <v>0.03</v>
      </c>
      <c r="AH210" s="7">
        <v>0.05</v>
      </c>
      <c r="AI210" s="7">
        <v>0.02</v>
      </c>
      <c r="AJ210" s="7">
        <v>0.003</v>
      </c>
      <c r="AK210" s="7">
        <v>0.05</v>
      </c>
      <c r="AL210" s="7">
        <v>0.007</v>
      </c>
      <c r="AM210" s="7">
        <v>0.013</v>
      </c>
      <c r="AN210" s="7">
        <v>0.086</v>
      </c>
      <c r="AO210" s="7">
        <v>0.0009</v>
      </c>
      <c r="AP210" s="7">
        <v>0.0055</v>
      </c>
      <c r="AQ210" s="7">
        <v>0.0018</v>
      </c>
    </row>
    <row r="211" ht="30" customHeight="1">
      <c r="A211" s="6">
        <v>5604437</v>
      </c>
      <c r="C211" s="7" t="s">
        <v>43</v>
      </c>
      <c r="D211" s="7" t="s">
        <v>396</v>
      </c>
      <c r="E211" s="6">
        <v>0.037</v>
      </c>
      <c r="F211" s="7" t="s">
        <v>45</v>
      </c>
      <c r="G211" s="8">
        <v>48.95</v>
      </c>
      <c r="H211" s="9">
        <v>33180</v>
      </c>
      <c r="I211" s="10">
        <f t="shared" si="0"/>
        <v>16.59</v>
      </c>
      <c r="J211" s="10">
        <f t="shared" si="1"/>
        <v>331.8</v>
      </c>
      <c r="K211" s="7" t="s">
        <v>46</v>
      </c>
      <c r="L211" s="7">
        <v>78.5</v>
      </c>
      <c r="M211" s="7">
        <v>92.6</v>
      </c>
      <c r="N211" s="7">
        <v>18</v>
      </c>
      <c r="O211" s="7">
        <v>89</v>
      </c>
      <c r="P211" s="7">
        <v>76.9</v>
      </c>
      <c r="Q211" s="7">
        <v>93.4</v>
      </c>
      <c r="R211" s="7">
        <v>19.3</v>
      </c>
      <c r="V211" s="7" t="s">
        <v>355</v>
      </c>
      <c r="W211" s="7" t="s">
        <v>215</v>
      </c>
      <c r="X211" s="7" t="s">
        <v>115</v>
      </c>
      <c r="Z211" s="7" t="s">
        <v>438</v>
      </c>
      <c r="AA211" s="7">
        <v>0.05</v>
      </c>
      <c r="AB211" s="7">
        <v>1.4</v>
      </c>
      <c r="AC211" s="7">
        <v>0.012</v>
      </c>
      <c r="AD211" s="7">
        <v>0.001</v>
      </c>
      <c r="AE211" s="7">
        <v>0.199</v>
      </c>
      <c r="AF211" s="7">
        <v>0.12</v>
      </c>
      <c r="AG211" s="7">
        <v>0.04</v>
      </c>
      <c r="AH211" s="7">
        <v>0.09</v>
      </c>
      <c r="AI211" s="7">
        <v>0.04</v>
      </c>
      <c r="AJ211" s="7">
        <v>0.003</v>
      </c>
      <c r="AK211" s="7">
        <v>0.065</v>
      </c>
      <c r="AL211" s="7">
        <v>0.015</v>
      </c>
      <c r="AM211" s="7">
        <v>0.037</v>
      </c>
      <c r="AN211" s="7">
        <v>0.12</v>
      </c>
      <c r="AO211" s="7">
        <v>0.0003</v>
      </c>
      <c r="AP211" s="7">
        <v>0.0071</v>
      </c>
      <c r="AQ211" s="7">
        <v>0.0016</v>
      </c>
    </row>
    <row r="212" ht="30" customHeight="1">
      <c r="A212" s="6">
        <v>5628618.001</v>
      </c>
      <c r="C212" s="7" t="s">
        <v>43</v>
      </c>
      <c r="D212" s="7" t="s">
        <v>396</v>
      </c>
      <c r="E212" s="6">
        <v>0.038</v>
      </c>
      <c r="F212" s="7" t="s">
        <v>63</v>
      </c>
      <c r="G212" s="8">
        <v>48.06</v>
      </c>
      <c r="H212" s="9">
        <v>43160</v>
      </c>
      <c r="I212" s="10">
        <f t="shared" si="0"/>
        <v>21.58</v>
      </c>
      <c r="J212" s="10">
        <f t="shared" si="1"/>
        <v>431.6</v>
      </c>
      <c r="K212" s="7" t="s">
        <v>162</v>
      </c>
      <c r="L212" s="7">
        <v>86.6</v>
      </c>
      <c r="M212" s="7">
        <v>98.6</v>
      </c>
      <c r="N212" s="7">
        <v>16.5</v>
      </c>
      <c r="O212" s="7">
        <v>90</v>
      </c>
      <c r="V212" s="7" t="s">
        <v>355</v>
      </c>
      <c r="W212" s="7" t="s">
        <v>437</v>
      </c>
      <c r="Z212" s="7" t="s">
        <v>439</v>
      </c>
      <c r="AA212" s="7">
        <v>0.04</v>
      </c>
      <c r="AB212" s="7">
        <v>0.77</v>
      </c>
      <c r="AC212" s="7">
        <v>0.008</v>
      </c>
      <c r="AD212" s="7">
        <v>0.002</v>
      </c>
      <c r="AE212" s="7">
        <v>0.177</v>
      </c>
      <c r="AF212" s="7">
        <v>0.09</v>
      </c>
      <c r="AG212" s="7">
        <v>0.03</v>
      </c>
      <c r="AH212" s="7">
        <v>0.04</v>
      </c>
      <c r="AI212" s="7">
        <v>0.01</v>
      </c>
      <c r="AJ212" s="7">
        <v>0.003</v>
      </c>
      <c r="AK212" s="7">
        <v>0.053</v>
      </c>
      <c r="AL212" s="7">
        <v>0.006</v>
      </c>
      <c r="AM212" s="7">
        <v>0.014</v>
      </c>
      <c r="AN212" s="7">
        <v>0.092</v>
      </c>
      <c r="AO212" s="7">
        <v>0.0005</v>
      </c>
      <c r="AP212" s="7">
        <v>0.007</v>
      </c>
      <c r="AQ212" s="7">
        <v>0.0025</v>
      </c>
    </row>
    <row r="213" ht="45" customHeight="1">
      <c r="A213" s="6">
        <v>5631976.002</v>
      </c>
      <c r="C213" s="7" t="s">
        <v>43</v>
      </c>
      <c r="D213" s="7" t="s">
        <v>396</v>
      </c>
      <c r="E213" s="6">
        <v>0.039</v>
      </c>
      <c r="F213" s="7" t="s">
        <v>63</v>
      </c>
      <c r="G213" s="8">
        <v>41.63</v>
      </c>
      <c r="H213" s="9">
        <v>22840</v>
      </c>
      <c r="I213" s="10">
        <f t="shared" si="0"/>
        <v>11.42</v>
      </c>
      <c r="J213" s="10">
        <f t="shared" si="1"/>
        <v>228.4</v>
      </c>
      <c r="K213" s="7" t="s">
        <v>90</v>
      </c>
      <c r="L213" s="7">
        <v>27</v>
      </c>
      <c r="M213" s="7">
        <v>47.6</v>
      </c>
      <c r="N213" s="7">
        <v>44.9</v>
      </c>
      <c r="O213" s="7">
        <v>49</v>
      </c>
      <c r="V213" s="7" t="s">
        <v>355</v>
      </c>
      <c r="W213" s="7" t="s">
        <v>403</v>
      </c>
      <c r="Z213" s="7" t="s">
        <v>440</v>
      </c>
      <c r="AA213" s="7">
        <v>0.05</v>
      </c>
      <c r="AB213" s="7">
        <v>0.19</v>
      </c>
      <c r="AC213" s="7">
        <v>0.009</v>
      </c>
      <c r="AD213" s="7">
        <v>0.003</v>
      </c>
      <c r="AE213" s="7">
        <v>0.017</v>
      </c>
      <c r="AF213" s="7">
        <v>0.12</v>
      </c>
      <c r="AG213" s="7">
        <v>0.03</v>
      </c>
      <c r="AH213" s="7">
        <v>0.05</v>
      </c>
      <c r="AI213" s="7">
        <v>0.01</v>
      </c>
      <c r="AJ213" s="7">
        <v>0.002</v>
      </c>
      <c r="AK213" s="7">
        <v>0.032</v>
      </c>
      <c r="AL213" s="7">
        <v>0.001</v>
      </c>
      <c r="AM213" s="7">
        <v>0.001</v>
      </c>
      <c r="AN213" s="7">
        <v>0</v>
      </c>
      <c r="AO213" s="7">
        <v>0.0001</v>
      </c>
      <c r="AP213" s="7">
        <v>0.0057</v>
      </c>
      <c r="AQ213" s="7">
        <v>0.0014</v>
      </c>
    </row>
    <row r="214" ht="75" customHeight="1">
      <c r="A214" s="6">
        <v>5631976.001</v>
      </c>
      <c r="C214" s="7" t="s">
        <v>51</v>
      </c>
      <c r="D214" s="7" t="s">
        <v>396</v>
      </c>
      <c r="E214" s="6">
        <v>0.039</v>
      </c>
      <c r="F214" s="7" t="s">
        <v>63</v>
      </c>
      <c r="G214" s="8">
        <v>41.63</v>
      </c>
      <c r="H214" s="9">
        <v>23460</v>
      </c>
      <c r="I214" s="10">
        <f t="shared" si="0"/>
        <v>11.73</v>
      </c>
      <c r="J214" s="10">
        <f t="shared" si="1"/>
        <v>234.6</v>
      </c>
      <c r="K214" s="7" t="s">
        <v>90</v>
      </c>
      <c r="L214" s="7">
        <v>27</v>
      </c>
      <c r="M214" s="7">
        <v>47.6</v>
      </c>
      <c r="N214" s="7">
        <v>44.9</v>
      </c>
      <c r="O214" s="7">
        <v>49</v>
      </c>
      <c r="V214" s="7" t="s">
        <v>355</v>
      </c>
      <c r="W214" s="7" t="s">
        <v>403</v>
      </c>
      <c r="Z214" s="7" t="s">
        <v>441</v>
      </c>
      <c r="AA214" s="7">
        <v>0.05</v>
      </c>
      <c r="AB214" s="7">
        <v>0.19</v>
      </c>
      <c r="AC214" s="7">
        <v>0.009</v>
      </c>
      <c r="AD214" s="7">
        <v>0.003</v>
      </c>
      <c r="AE214" s="7">
        <v>0.017</v>
      </c>
      <c r="AF214" s="7">
        <v>0.12</v>
      </c>
      <c r="AG214" s="7">
        <v>0.03</v>
      </c>
      <c r="AH214" s="7">
        <v>0.05</v>
      </c>
      <c r="AI214" s="7">
        <v>0.01</v>
      </c>
      <c r="AJ214" s="7">
        <v>0.002</v>
      </c>
      <c r="AK214" s="7">
        <v>0.032</v>
      </c>
      <c r="AL214" s="7">
        <v>0.001</v>
      </c>
      <c r="AM214" s="7">
        <v>0.001</v>
      </c>
      <c r="AN214" s="7">
        <v>0</v>
      </c>
      <c r="AO214" s="7">
        <v>0.0001</v>
      </c>
      <c r="AP214" s="7">
        <v>0.0057</v>
      </c>
      <c r="AQ214" s="7">
        <v>0.0014</v>
      </c>
    </row>
    <row r="215" ht="15" customHeight="1">
      <c r="A215" s="6">
        <v>5588300</v>
      </c>
      <c r="C215" s="7" t="s">
        <v>43</v>
      </c>
      <c r="D215" s="7" t="s">
        <v>396</v>
      </c>
      <c r="E215" s="6">
        <v>0.041</v>
      </c>
      <c r="F215" s="7" t="s">
        <v>45</v>
      </c>
      <c r="G215" s="8">
        <v>48.13</v>
      </c>
      <c r="H215" s="9">
        <v>36600</v>
      </c>
      <c r="I215" s="10">
        <f t="shared" si="0"/>
        <v>18.3</v>
      </c>
      <c r="J215" s="10">
        <f t="shared" si="1"/>
        <v>366</v>
      </c>
      <c r="K215" s="7" t="s">
        <v>86</v>
      </c>
      <c r="L215" s="7">
        <v>61.9</v>
      </c>
      <c r="M215" s="7">
        <v>76</v>
      </c>
      <c r="N215" s="7">
        <v>25.3</v>
      </c>
      <c r="O215" s="7">
        <v>82</v>
      </c>
      <c r="V215" s="7" t="s">
        <v>355</v>
      </c>
      <c r="W215" s="7" t="s">
        <v>435</v>
      </c>
      <c r="Z215" s="7" t="s">
        <v>402</v>
      </c>
      <c r="AA215" s="7">
        <v>0.04</v>
      </c>
      <c r="AB215" s="7">
        <v>0.75</v>
      </c>
      <c r="AC215" s="7">
        <v>0.011</v>
      </c>
      <c r="AD215" s="7">
        <v>0.001</v>
      </c>
      <c r="AE215" s="7">
        <v>0.201</v>
      </c>
      <c r="AF215" s="7">
        <v>0.1</v>
      </c>
      <c r="AG215" s="7">
        <v>0.04</v>
      </c>
      <c r="AH215" s="7">
        <v>0.08</v>
      </c>
      <c r="AI215" s="7">
        <v>0.02</v>
      </c>
      <c r="AJ215" s="7">
        <v>0.003</v>
      </c>
      <c r="AK215" s="7">
        <v>0.051</v>
      </c>
      <c r="AL215" s="7">
        <v>0.006</v>
      </c>
      <c r="AM215" s="7">
        <v>0.001</v>
      </c>
      <c r="AN215" s="7">
        <v>0.058</v>
      </c>
      <c r="AO215" s="7">
        <v>0.0001</v>
      </c>
      <c r="AP215" s="7">
        <v>0.0082</v>
      </c>
      <c r="AQ215" s="7">
        <v>0.0012</v>
      </c>
    </row>
    <row r="216" ht="15" customHeight="1">
      <c r="A216" s="6">
        <v>5673986</v>
      </c>
      <c r="C216" s="7" t="s">
        <v>43</v>
      </c>
      <c r="D216" s="7" t="s">
        <v>396</v>
      </c>
      <c r="E216" s="6">
        <v>0.046</v>
      </c>
      <c r="F216" s="7" t="s">
        <v>63</v>
      </c>
      <c r="G216" s="8">
        <v>47</v>
      </c>
      <c r="H216" s="9">
        <v>43720</v>
      </c>
      <c r="I216" s="10">
        <f t="shared" si="0"/>
        <v>21.86</v>
      </c>
      <c r="J216" s="10">
        <f t="shared" si="1"/>
        <v>437.2</v>
      </c>
      <c r="K216" s="7" t="s">
        <v>46</v>
      </c>
      <c r="L216" s="7">
        <v>99</v>
      </c>
      <c r="M216" s="7">
        <v>111.2</v>
      </c>
      <c r="N216" s="7">
        <v>14.5</v>
      </c>
      <c r="V216" s="7" t="s">
        <v>355</v>
      </c>
      <c r="AA216" s="7">
        <v>0.05</v>
      </c>
      <c r="AB216" s="7">
        <v>1.37</v>
      </c>
      <c r="AC216" s="7">
        <v>0.009</v>
      </c>
      <c r="AD216" s="7">
        <v>0.001</v>
      </c>
      <c r="AE216" s="7">
        <v>0.192</v>
      </c>
      <c r="AF216" s="7">
        <v>0.12</v>
      </c>
      <c r="AG216" s="7">
        <v>0.04</v>
      </c>
      <c r="AH216" s="7">
        <v>0.07</v>
      </c>
      <c r="AI216" s="7">
        <v>0.03</v>
      </c>
      <c r="AJ216" s="7">
        <v>0.003</v>
      </c>
      <c r="AK216" s="7">
        <v>0.066</v>
      </c>
      <c r="AL216" s="7">
        <v>0.016</v>
      </c>
      <c r="AM216" s="7">
        <v>0.037</v>
      </c>
      <c r="AN216" s="7">
        <v>0.124</v>
      </c>
      <c r="AO216" s="7">
        <v>0.0002</v>
      </c>
      <c r="AP216" s="7">
        <v>0.0065</v>
      </c>
      <c r="AQ216" s="7">
        <v>0.0013</v>
      </c>
    </row>
    <row r="217" ht="15" customHeight="1">
      <c r="A217" s="6">
        <v>5675717</v>
      </c>
      <c r="C217" s="7" t="s">
        <v>43</v>
      </c>
      <c r="D217" s="7" t="s">
        <v>396</v>
      </c>
      <c r="E217" s="6">
        <v>0.046</v>
      </c>
      <c r="F217" s="7" t="s">
        <v>63</v>
      </c>
      <c r="G217" s="8">
        <v>47.13</v>
      </c>
      <c r="H217" s="9">
        <v>43680</v>
      </c>
      <c r="I217" s="10">
        <f t="shared" si="0"/>
        <v>21.84</v>
      </c>
      <c r="J217" s="10">
        <f t="shared" si="1"/>
        <v>436.8</v>
      </c>
      <c r="K217" s="7" t="s">
        <v>46</v>
      </c>
      <c r="L217" s="7">
        <v>100.6</v>
      </c>
      <c r="M217" s="7">
        <v>112.6</v>
      </c>
      <c r="N217" s="7">
        <v>15.7</v>
      </c>
      <c r="V217" s="7" t="s">
        <v>355</v>
      </c>
      <c r="AA217" s="7">
        <v>0.05</v>
      </c>
      <c r="AB217" s="7">
        <v>1.45</v>
      </c>
      <c r="AC217" s="7">
        <v>0.01</v>
      </c>
      <c r="AD217" s="7">
        <v>0.001</v>
      </c>
      <c r="AE217" s="7">
        <v>0.225</v>
      </c>
      <c r="AF217" s="7">
        <v>0.12</v>
      </c>
      <c r="AG217" s="7">
        <v>0.04</v>
      </c>
      <c r="AH217" s="7">
        <v>0.07</v>
      </c>
      <c r="AI217" s="7">
        <v>0.02</v>
      </c>
      <c r="AJ217" s="7">
        <v>0.003</v>
      </c>
      <c r="AK217" s="7">
        <v>0.065</v>
      </c>
      <c r="AL217" s="7">
        <v>0.017</v>
      </c>
      <c r="AM217" s="7">
        <v>0.039</v>
      </c>
      <c r="AN217" s="7">
        <v>0.118</v>
      </c>
      <c r="AO217" s="7">
        <v>0.0003</v>
      </c>
      <c r="AP217" s="7">
        <v>0.0063</v>
      </c>
      <c r="AQ217" s="7">
        <v>0.002</v>
      </c>
    </row>
    <row r="218" ht="15" customHeight="1">
      <c r="A218" s="6">
        <v>5681034</v>
      </c>
      <c r="C218" s="7" t="s">
        <v>43</v>
      </c>
      <c r="D218" s="7" t="s">
        <v>396</v>
      </c>
      <c r="E218" s="6">
        <v>0.047</v>
      </c>
      <c r="F218" s="7" t="s">
        <v>63</v>
      </c>
      <c r="G218" s="8">
        <v>46.25</v>
      </c>
      <c r="H218" s="9">
        <v>43000</v>
      </c>
      <c r="I218" s="10">
        <f t="shared" si="0"/>
        <v>21.5</v>
      </c>
      <c r="J218" s="10">
        <f t="shared" si="1"/>
        <v>430</v>
      </c>
      <c r="K218" s="7" t="s">
        <v>46</v>
      </c>
      <c r="L218" s="7">
        <v>98.8</v>
      </c>
      <c r="M218" s="7">
        <v>110.7</v>
      </c>
      <c r="N218" s="7">
        <v>15.1</v>
      </c>
      <c r="P218" s="7">
        <v>86.3</v>
      </c>
      <c r="Q218" s="7">
        <v>96</v>
      </c>
      <c r="R218" s="7">
        <v>18.3</v>
      </c>
      <c r="V218" s="7" t="s">
        <v>355</v>
      </c>
      <c r="AA218" s="7">
        <v>0.05</v>
      </c>
      <c r="AB218" s="7">
        <v>1.35</v>
      </c>
      <c r="AC218" s="7">
        <v>0.008</v>
      </c>
      <c r="AD218" s="7">
        <v>0.001</v>
      </c>
      <c r="AE218" s="7">
        <v>0.196</v>
      </c>
      <c r="AF218" s="7">
        <v>0.11</v>
      </c>
      <c r="AG218" s="7">
        <v>0.03</v>
      </c>
      <c r="AH218" s="7">
        <v>0.08</v>
      </c>
      <c r="AI218" s="7">
        <v>0.03</v>
      </c>
      <c r="AJ218" s="7">
        <v>0.003</v>
      </c>
      <c r="AK218" s="7">
        <v>0.059</v>
      </c>
      <c r="AL218" s="7">
        <v>0.016</v>
      </c>
      <c r="AM218" s="7">
        <v>0.037</v>
      </c>
      <c r="AN218" s="7">
        <v>0.124</v>
      </c>
      <c r="AO218" s="7">
        <v>0.0001</v>
      </c>
      <c r="AP218" s="7">
        <v>0.0069</v>
      </c>
      <c r="AQ218" s="7">
        <v>0.0026</v>
      </c>
    </row>
    <row r="219" ht="15" customHeight="1">
      <c r="A219" s="6">
        <v>5241135</v>
      </c>
      <c r="C219" s="7" t="s">
        <v>43</v>
      </c>
      <c r="D219" s="7" t="s">
        <v>396</v>
      </c>
      <c r="E219" s="6">
        <v>0.059</v>
      </c>
      <c r="F219" s="7" t="s">
        <v>45</v>
      </c>
      <c r="G219" s="8">
        <v>52.81</v>
      </c>
      <c r="H219" s="9">
        <v>45000</v>
      </c>
      <c r="I219" s="10">
        <f t="shared" si="0"/>
        <v>22.5</v>
      </c>
      <c r="J219" s="10">
        <f t="shared" si="1"/>
        <v>450</v>
      </c>
      <c r="K219" s="7" t="s">
        <v>162</v>
      </c>
      <c r="L219" s="7">
        <v>96.1</v>
      </c>
      <c r="M219" s="7">
        <v>106.4</v>
      </c>
      <c r="N219" s="7">
        <v>14.9</v>
      </c>
      <c r="O219" s="7">
        <v>80</v>
      </c>
      <c r="V219" s="7" t="s">
        <v>355</v>
      </c>
      <c r="AA219" s="7">
        <v>0.05</v>
      </c>
      <c r="AB219" s="7">
        <v>0.75</v>
      </c>
      <c r="AC219" s="7">
        <v>0.008</v>
      </c>
      <c r="AD219" s="7">
        <v>0.001</v>
      </c>
      <c r="AE219" s="7">
        <v>0.176</v>
      </c>
      <c r="AF219" s="7">
        <v>0.12</v>
      </c>
      <c r="AG219" s="7">
        <v>0.03</v>
      </c>
      <c r="AH219" s="7">
        <v>0.04</v>
      </c>
      <c r="AI219" s="7">
        <v>0.01</v>
      </c>
      <c r="AJ219" s="7">
        <v>0.003</v>
      </c>
      <c r="AK219" s="7">
        <v>0.049</v>
      </c>
      <c r="AL219" s="7">
        <v>0.008</v>
      </c>
      <c r="AM219" s="7">
        <v>0.02</v>
      </c>
      <c r="AN219" s="7">
        <v>0.087</v>
      </c>
      <c r="AO219" s="7">
        <v>0.0002</v>
      </c>
      <c r="AP219" s="7">
        <v>0.0061</v>
      </c>
      <c r="AQ219" s="7">
        <v>0.0025</v>
      </c>
    </row>
    <row r="220" ht="30" customHeight="1">
      <c r="A220" s="6">
        <v>5673861.001</v>
      </c>
      <c r="C220" s="7" t="s">
        <v>43</v>
      </c>
      <c r="D220" s="7" t="s">
        <v>396</v>
      </c>
      <c r="E220" s="6">
        <v>0.065</v>
      </c>
      <c r="F220" s="7" t="s">
        <v>63</v>
      </c>
      <c r="G220" s="8">
        <v>61.5</v>
      </c>
      <c r="H220" s="9">
        <v>21360</v>
      </c>
      <c r="I220" s="10">
        <f t="shared" si="0"/>
        <v>10.68</v>
      </c>
      <c r="J220" s="10">
        <f t="shared" si="1"/>
        <v>213.6</v>
      </c>
      <c r="K220" s="7" t="s">
        <v>142</v>
      </c>
      <c r="L220" s="7">
        <v>54.2</v>
      </c>
      <c r="M220" s="7">
        <v>65.8</v>
      </c>
      <c r="N220" s="7">
        <v>30.2</v>
      </c>
      <c r="O220" s="7">
        <v>79</v>
      </c>
      <c r="V220" s="7" t="s">
        <v>355</v>
      </c>
      <c r="W220" s="7" t="s">
        <v>442</v>
      </c>
      <c r="Z220" s="7" t="s">
        <v>443</v>
      </c>
      <c r="AA220" s="7">
        <v>0.05</v>
      </c>
      <c r="AB220" s="7">
        <v>0.55</v>
      </c>
      <c r="AC220" s="7">
        <v>0.062</v>
      </c>
      <c r="AD220" s="7">
        <v>0.002</v>
      </c>
      <c r="AE220" s="7">
        <v>0.285</v>
      </c>
      <c r="AF220" s="7">
        <v>0.12</v>
      </c>
      <c r="AG220" s="7">
        <v>0.04</v>
      </c>
      <c r="AH220" s="7">
        <v>0.06</v>
      </c>
      <c r="AI220" s="7">
        <v>0.01</v>
      </c>
      <c r="AJ220" s="7">
        <v>0.003</v>
      </c>
      <c r="AK220" s="7">
        <v>0.035</v>
      </c>
      <c r="AL220" s="7">
        <v>0.003</v>
      </c>
      <c r="AM220" s="7">
        <v>0.001</v>
      </c>
      <c r="AN220" s="7">
        <v>0.002</v>
      </c>
      <c r="AO220" s="7">
        <v>0.0001</v>
      </c>
      <c r="AP220" s="7">
        <v>0.0105</v>
      </c>
      <c r="AQ220" s="7">
        <v>0.0007</v>
      </c>
    </row>
    <row r="221" ht="30" customHeight="1">
      <c r="A221" s="6">
        <v>5490070</v>
      </c>
      <c r="C221" s="7" t="s">
        <v>51</v>
      </c>
      <c r="D221" s="7" t="s">
        <v>396</v>
      </c>
      <c r="E221" s="6">
        <v>0.07</v>
      </c>
      <c r="F221" s="7" t="s">
        <v>45</v>
      </c>
      <c r="G221" s="8">
        <v>53.13</v>
      </c>
      <c r="H221" s="9">
        <v>42500</v>
      </c>
      <c r="I221" s="10">
        <f t="shared" si="0"/>
        <v>21.25</v>
      </c>
      <c r="J221" s="10">
        <f t="shared" si="1"/>
        <v>425</v>
      </c>
      <c r="K221" s="7" t="s">
        <v>57</v>
      </c>
      <c r="L221" s="7">
        <v>140.5</v>
      </c>
      <c r="M221" s="7">
        <v>144.4</v>
      </c>
      <c r="N221" s="7">
        <v>8.8</v>
      </c>
      <c r="O221" s="7">
        <v>110</v>
      </c>
      <c r="V221" s="7" t="s">
        <v>355</v>
      </c>
      <c r="W221" s="7" t="s">
        <v>444</v>
      </c>
      <c r="X221" s="7" t="s">
        <v>445</v>
      </c>
      <c r="Y221" s="7" t="s">
        <v>446</v>
      </c>
      <c r="AA221" s="7">
        <v>0.07</v>
      </c>
      <c r="AB221" s="7">
        <v>1.56</v>
      </c>
      <c r="AC221" s="7">
        <v>0.012</v>
      </c>
      <c r="AD221" s="7">
        <v>0.001</v>
      </c>
      <c r="AE221" s="7">
        <v>0.248</v>
      </c>
      <c r="AF221" s="7">
        <v>0.12</v>
      </c>
      <c r="AG221" s="7">
        <v>0.04</v>
      </c>
      <c r="AH221" s="7">
        <v>0.59</v>
      </c>
      <c r="AI221" s="7">
        <v>0.02</v>
      </c>
      <c r="AJ221" s="7">
        <v>0.004</v>
      </c>
      <c r="AK221" s="7">
        <v>0.032</v>
      </c>
      <c r="AL221" s="7">
        <v>0.005</v>
      </c>
      <c r="AM221" s="7">
        <v>0.035</v>
      </c>
      <c r="AN221" s="7">
        <v>0.015</v>
      </c>
      <c r="AO221" s="7">
        <v>0.0001</v>
      </c>
      <c r="AP221" s="7">
        <v>0.0061</v>
      </c>
      <c r="AQ221" s="7">
        <v>0.002</v>
      </c>
    </row>
    <row r="222" ht="30" customHeight="1">
      <c r="A222" s="6">
        <v>5634289.002</v>
      </c>
      <c r="C222" s="7" t="s">
        <v>51</v>
      </c>
      <c r="D222" s="7" t="s">
        <v>396</v>
      </c>
      <c r="E222" s="6">
        <v>0.077</v>
      </c>
      <c r="F222" s="7" t="s">
        <v>63</v>
      </c>
      <c r="G222" s="8">
        <v>44.5</v>
      </c>
      <c r="H222" s="9">
        <v>14500</v>
      </c>
      <c r="I222" s="10">
        <f t="shared" si="0"/>
        <v>7.25</v>
      </c>
      <c r="J222" s="10">
        <f t="shared" si="1"/>
        <v>145</v>
      </c>
      <c r="K222" s="7" t="s">
        <v>232</v>
      </c>
      <c r="L222" s="7">
        <v>52.4</v>
      </c>
      <c r="M222" s="7">
        <v>69.7</v>
      </c>
      <c r="N222" s="7">
        <v>29.6</v>
      </c>
      <c r="O222" s="7">
        <v>83</v>
      </c>
      <c r="V222" s="7" t="s">
        <v>355</v>
      </c>
      <c r="W222" s="7" t="s">
        <v>403</v>
      </c>
      <c r="X222" s="7" t="s">
        <v>447</v>
      </c>
      <c r="Y222" s="7" t="s">
        <v>115</v>
      </c>
      <c r="Z222" s="7" t="s">
        <v>448</v>
      </c>
      <c r="AA222" s="7">
        <v>0.06</v>
      </c>
      <c r="AB222" s="7">
        <v>0.76</v>
      </c>
      <c r="AC222" s="7">
        <v>0.047</v>
      </c>
      <c r="AD222" s="7">
        <v>0.001</v>
      </c>
      <c r="AE222" s="7">
        <v>0.351</v>
      </c>
      <c r="AF222" s="7">
        <v>0.12</v>
      </c>
      <c r="AG222" s="7">
        <v>0.04</v>
      </c>
      <c r="AH222" s="7">
        <v>0.07</v>
      </c>
      <c r="AI222" s="7">
        <v>0.01</v>
      </c>
      <c r="AJ222" s="7">
        <v>0.003</v>
      </c>
      <c r="AK222" s="7">
        <v>0.027</v>
      </c>
      <c r="AL222" s="7">
        <v>0.003</v>
      </c>
      <c r="AM222" s="7">
        <v>0.001</v>
      </c>
      <c r="AN222" s="7">
        <v>0.001</v>
      </c>
      <c r="AO222" s="7">
        <v>0.0002</v>
      </c>
      <c r="AP222" s="7">
        <v>0.0118</v>
      </c>
      <c r="AQ222" s="7">
        <v>0.0011</v>
      </c>
    </row>
    <row r="223" ht="15" customHeight="1">
      <c r="A223" s="6">
        <v>5294766</v>
      </c>
      <c r="C223" s="7" t="s">
        <v>51</v>
      </c>
      <c r="D223" s="7" t="s">
        <v>396</v>
      </c>
      <c r="E223" s="6">
        <v>0.083</v>
      </c>
      <c r="F223" s="7" t="s">
        <v>63</v>
      </c>
      <c r="G223" s="8">
        <v>60.69</v>
      </c>
      <c r="H223" s="9">
        <v>41500</v>
      </c>
      <c r="I223" s="10">
        <f t="shared" si="0"/>
        <v>20.75</v>
      </c>
      <c r="J223" s="10">
        <f t="shared" si="1"/>
        <v>415</v>
      </c>
      <c r="K223" s="7" t="s">
        <v>142</v>
      </c>
      <c r="L223" s="7">
        <v>48.9</v>
      </c>
      <c r="M223" s="7">
        <v>65.4</v>
      </c>
      <c r="N223" s="7">
        <v>31.8</v>
      </c>
      <c r="O223" s="7">
        <v>77</v>
      </c>
      <c r="V223" s="7" t="s">
        <v>355</v>
      </c>
      <c r="W223" s="7" t="s">
        <v>449</v>
      </c>
      <c r="X223" s="7" t="s">
        <v>450</v>
      </c>
      <c r="AA223" s="7">
        <v>0.04</v>
      </c>
      <c r="AB223" s="7">
        <v>0.54</v>
      </c>
      <c r="AC223" s="7">
        <v>0.069</v>
      </c>
      <c r="AD223" s="7">
        <v>0.004</v>
      </c>
      <c r="AE223" s="7">
        <v>0.264</v>
      </c>
      <c r="AF223" s="7">
        <v>0.09</v>
      </c>
      <c r="AG223" s="7">
        <v>0.03</v>
      </c>
      <c r="AH223" s="7">
        <v>0.03</v>
      </c>
      <c r="AI223" s="7">
        <v>0.01</v>
      </c>
      <c r="AJ223" s="7">
        <v>0.003</v>
      </c>
      <c r="AK223" s="7">
        <v>0.03</v>
      </c>
      <c r="AL223" s="7">
        <v>0.002</v>
      </c>
      <c r="AM223" s="7">
        <v>0.001</v>
      </c>
      <c r="AN223" s="7">
        <v>0.001</v>
      </c>
      <c r="AO223" s="7">
        <v>0.0001</v>
      </c>
      <c r="AP223" s="7">
        <v>0.0105</v>
      </c>
      <c r="AQ223" s="7">
        <v>0.0012</v>
      </c>
    </row>
    <row r="224" ht="15" customHeight="1">
      <c r="A224" s="6">
        <v>5664012</v>
      </c>
      <c r="C224" s="7" t="s">
        <v>43</v>
      </c>
      <c r="D224" s="7" t="s">
        <v>396</v>
      </c>
      <c r="E224" s="6">
        <v>0.099</v>
      </c>
      <c r="F224" s="7" t="s">
        <v>63</v>
      </c>
      <c r="G224" s="8">
        <v>49.94</v>
      </c>
      <c r="H224" s="9">
        <v>34180</v>
      </c>
      <c r="I224" s="10">
        <f t="shared" si="0"/>
        <v>17.09</v>
      </c>
      <c r="J224" s="10">
        <f t="shared" si="1"/>
        <v>341.8</v>
      </c>
      <c r="K224" s="7" t="s">
        <v>128</v>
      </c>
      <c r="L224" s="7">
        <v>63.2</v>
      </c>
      <c r="M224" s="7">
        <v>73.4</v>
      </c>
      <c r="N224" s="7">
        <v>25.6</v>
      </c>
      <c r="O224" s="7">
        <v>85</v>
      </c>
      <c r="V224" s="7" t="s">
        <v>355</v>
      </c>
      <c r="W224" s="7" t="s">
        <v>437</v>
      </c>
      <c r="X224" s="7" t="s">
        <v>451</v>
      </c>
      <c r="Z224" s="7" t="s">
        <v>452</v>
      </c>
      <c r="AA224" s="7">
        <v>0.04</v>
      </c>
      <c r="AB224" s="7">
        <v>0.73</v>
      </c>
      <c r="AC224" s="7">
        <v>0.012</v>
      </c>
      <c r="AD224" s="7">
        <v>0.001</v>
      </c>
      <c r="AE224" s="7">
        <v>0.191</v>
      </c>
      <c r="AF224" s="7">
        <v>0.12</v>
      </c>
      <c r="AG224" s="7">
        <v>0.03</v>
      </c>
      <c r="AH224" s="7">
        <v>0.05</v>
      </c>
      <c r="AI224" s="7">
        <v>0.01</v>
      </c>
      <c r="AJ224" s="7">
        <v>0.003</v>
      </c>
      <c r="AK224" s="7">
        <v>0.052</v>
      </c>
      <c r="AL224" s="7">
        <v>0.006</v>
      </c>
      <c r="AM224" s="7">
        <v>0.001</v>
      </c>
      <c r="AN224" s="7">
        <v>0.069</v>
      </c>
      <c r="AO224" s="7">
        <v>0.0003</v>
      </c>
      <c r="AP224" s="7">
        <v>0.0052</v>
      </c>
      <c r="AQ224" s="7">
        <v>0.0021</v>
      </c>
    </row>
    <row r="225" ht="75" customHeight="1">
      <c r="A225" s="6">
        <v>5638114</v>
      </c>
      <c r="C225" s="7" t="s">
        <v>51</v>
      </c>
      <c r="D225" s="7" t="s">
        <v>453</v>
      </c>
      <c r="E225" s="6">
        <v>0.031</v>
      </c>
      <c r="F225" s="7" t="s">
        <v>45</v>
      </c>
      <c r="G225" s="8">
        <v>50.88</v>
      </c>
      <c r="H225" s="9">
        <v>44060</v>
      </c>
      <c r="I225" s="10">
        <f t="shared" si="0"/>
        <v>22.03</v>
      </c>
      <c r="J225" s="10">
        <f t="shared" si="1"/>
        <v>440.6</v>
      </c>
      <c r="K225" s="7" t="s">
        <v>77</v>
      </c>
      <c r="V225" s="7" t="s">
        <v>355</v>
      </c>
      <c r="W225" s="7" t="s">
        <v>403</v>
      </c>
      <c r="X225" s="7" t="s">
        <v>59</v>
      </c>
      <c r="Z225" s="7" t="s">
        <v>454</v>
      </c>
      <c r="AA225" s="7">
        <v>0.33</v>
      </c>
      <c r="AB225" s="7">
        <v>0.73</v>
      </c>
      <c r="AC225" s="7">
        <v>0.007</v>
      </c>
      <c r="AD225" s="7">
        <v>0.002</v>
      </c>
      <c r="AE225" s="7">
        <v>0.02</v>
      </c>
      <c r="AF225" s="7">
        <v>0.1</v>
      </c>
      <c r="AG225" s="7">
        <v>0.04</v>
      </c>
      <c r="AH225" s="7">
        <v>0.05</v>
      </c>
      <c r="AI225" s="7">
        <v>0.01</v>
      </c>
      <c r="AJ225" s="7">
        <v>0.002</v>
      </c>
      <c r="AK225" s="7">
        <v>0.034</v>
      </c>
      <c r="AL225" s="7">
        <v>0.002</v>
      </c>
      <c r="AM225" s="7">
        <v>0.001</v>
      </c>
      <c r="AN225" s="7">
        <v>0.001</v>
      </c>
      <c r="AO225" s="7">
        <v>0.0005</v>
      </c>
      <c r="AP225" s="7">
        <v>0.0059</v>
      </c>
      <c r="AQ225" s="7">
        <v>0.0011</v>
      </c>
    </row>
    <row r="226" ht="45" customHeight="1">
      <c r="A226" s="6">
        <v>5604040</v>
      </c>
      <c r="C226" s="7" t="s">
        <v>43</v>
      </c>
      <c r="D226" s="7" t="s">
        <v>453</v>
      </c>
      <c r="E226" s="6">
        <v>0.032</v>
      </c>
      <c r="F226" s="7" t="s">
        <v>45</v>
      </c>
      <c r="G226" s="8">
        <v>50.75</v>
      </c>
      <c r="H226" s="9">
        <v>41760</v>
      </c>
      <c r="I226" s="10">
        <f t="shared" si="0"/>
        <v>20.88</v>
      </c>
      <c r="J226" s="10">
        <f t="shared" si="1"/>
        <v>417.6</v>
      </c>
      <c r="K226" s="7" t="s">
        <v>77</v>
      </c>
      <c r="V226" s="7" t="s">
        <v>355</v>
      </c>
      <c r="W226" s="7" t="s">
        <v>455</v>
      </c>
      <c r="Z226" s="7" t="s">
        <v>456</v>
      </c>
      <c r="AA226" s="7">
        <v>0.33</v>
      </c>
      <c r="AB226" s="7">
        <v>0.74</v>
      </c>
      <c r="AC226" s="7">
        <v>0.01</v>
      </c>
      <c r="AD226" s="7">
        <v>0.002</v>
      </c>
      <c r="AE226" s="7">
        <v>0.021</v>
      </c>
      <c r="AF226" s="7">
        <v>0.11</v>
      </c>
      <c r="AG226" s="7">
        <v>0.03</v>
      </c>
      <c r="AH226" s="7">
        <v>0.06</v>
      </c>
      <c r="AI226" s="7">
        <v>0.01</v>
      </c>
      <c r="AJ226" s="7">
        <v>0.002</v>
      </c>
      <c r="AK226" s="7">
        <v>0.03</v>
      </c>
      <c r="AL226" s="7">
        <v>0.003</v>
      </c>
      <c r="AM226" s="7">
        <v>0.001</v>
      </c>
      <c r="AN226" s="7">
        <v>0</v>
      </c>
      <c r="AO226" s="7">
        <v>0.0001</v>
      </c>
      <c r="AP226" s="7">
        <v>0.006</v>
      </c>
      <c r="AQ226" s="7">
        <v>0.0021</v>
      </c>
    </row>
    <row r="227" ht="75" customHeight="1">
      <c r="A227" s="6">
        <v>5678476</v>
      </c>
      <c r="C227" s="7" t="s">
        <v>51</v>
      </c>
      <c r="D227" s="7" t="s">
        <v>453</v>
      </c>
      <c r="E227" s="6">
        <v>0.076</v>
      </c>
      <c r="F227" s="7" t="s">
        <v>45</v>
      </c>
      <c r="G227" s="8">
        <v>49.63</v>
      </c>
      <c r="H227" s="9">
        <v>33440</v>
      </c>
      <c r="I227" s="10">
        <f t="shared" si="0"/>
        <v>16.72</v>
      </c>
      <c r="J227" s="10">
        <f t="shared" si="1"/>
        <v>334.4</v>
      </c>
      <c r="K227" s="7" t="s">
        <v>457</v>
      </c>
      <c r="V227" s="7" t="s">
        <v>355</v>
      </c>
      <c r="W227" s="7" t="s">
        <v>458</v>
      </c>
      <c r="Z227" s="7" t="s">
        <v>459</v>
      </c>
      <c r="AA227" s="7">
        <v>0.05</v>
      </c>
      <c r="AB227" s="7">
        <v>1.41</v>
      </c>
      <c r="AC227" s="7">
        <v>0.012</v>
      </c>
      <c r="AD227" s="7">
        <v>0.001</v>
      </c>
      <c r="AE227" s="7">
        <v>0.323</v>
      </c>
      <c r="AF227" s="7">
        <v>0.12</v>
      </c>
      <c r="AG227" s="7">
        <v>0.03</v>
      </c>
      <c r="AH227" s="7">
        <v>0.05</v>
      </c>
      <c r="AI227" s="7">
        <v>0.01</v>
      </c>
      <c r="AJ227" s="7">
        <v>0.005</v>
      </c>
      <c r="AK227" s="7">
        <v>0.031</v>
      </c>
      <c r="AL227" s="7">
        <v>0.005</v>
      </c>
      <c r="AM227" s="7">
        <v>0.049</v>
      </c>
      <c r="AN227" s="7">
        <v>0.002</v>
      </c>
      <c r="AO227" s="7">
        <v>0.0005</v>
      </c>
      <c r="AP227" s="7">
        <v>0.0058</v>
      </c>
      <c r="AQ227" s="7">
        <v>0.0017</v>
      </c>
    </row>
    <row r="228" ht="30" customHeight="1">
      <c r="A228" s="6">
        <v>5684800.002</v>
      </c>
      <c r="C228" s="7" t="s">
        <v>43</v>
      </c>
      <c r="D228" s="7" t="s">
        <v>460</v>
      </c>
      <c r="E228" s="6">
        <v>0.018</v>
      </c>
      <c r="F228" s="7" t="s">
        <v>63</v>
      </c>
      <c r="G228" s="8">
        <v>46.94</v>
      </c>
      <c r="H228" s="9">
        <v>15860</v>
      </c>
      <c r="I228" s="10">
        <f t="shared" si="0"/>
        <v>7.93</v>
      </c>
      <c r="J228" s="10">
        <f t="shared" si="1"/>
        <v>158.6</v>
      </c>
      <c r="K228" s="7" t="s">
        <v>90</v>
      </c>
      <c r="V228" s="7" t="s">
        <v>47</v>
      </c>
      <c r="W228" s="7" t="s">
        <v>215</v>
      </c>
      <c r="X228" s="7" t="s">
        <v>115</v>
      </c>
      <c r="AA228" s="7">
        <v>0.05</v>
      </c>
      <c r="AB228" s="7">
        <v>0.18</v>
      </c>
      <c r="AC228" s="7">
        <v>0.009</v>
      </c>
      <c r="AD228" s="7">
        <v>0.002</v>
      </c>
      <c r="AE228" s="7">
        <v>0.023</v>
      </c>
      <c r="AF228" s="7">
        <v>0.11</v>
      </c>
      <c r="AG228" s="7">
        <v>0.03</v>
      </c>
      <c r="AH228" s="7">
        <v>0.05</v>
      </c>
      <c r="AI228" s="7">
        <v>0.01</v>
      </c>
      <c r="AJ228" s="7">
        <v>0.003</v>
      </c>
      <c r="AK228" s="7">
        <v>0.036</v>
      </c>
      <c r="AL228" s="7">
        <v>0.002</v>
      </c>
      <c r="AM228" s="7">
        <v>0.001</v>
      </c>
      <c r="AN228" s="7">
        <v>0.001</v>
      </c>
      <c r="AO228" s="7">
        <v>0.0001</v>
      </c>
      <c r="AP228" s="7">
        <v>0.0056</v>
      </c>
      <c r="AQ228" s="7">
        <v>0.0015</v>
      </c>
    </row>
    <row r="229" ht="15.75" customHeight="1">
      <c r="A229" s="6">
        <v>5594653</v>
      </c>
      <c r="C229" s="7" t="s">
        <v>51</v>
      </c>
      <c r="D229" s="7" t="s">
        <v>460</v>
      </c>
      <c r="E229" s="6">
        <v>0.026</v>
      </c>
      <c r="F229" s="7" t="s">
        <v>63</v>
      </c>
      <c r="G229" s="8">
        <v>61.88</v>
      </c>
      <c r="H229" s="9">
        <v>36180</v>
      </c>
      <c r="I229" s="10">
        <f t="shared" si="0"/>
        <v>18.09</v>
      </c>
      <c r="J229" s="10">
        <f t="shared" si="1"/>
        <v>361.8</v>
      </c>
      <c r="K229" s="7" t="s">
        <v>68</v>
      </c>
      <c r="V229" s="7" t="s">
        <v>47</v>
      </c>
      <c r="W229" s="7" t="s">
        <v>461</v>
      </c>
      <c r="X229" s="7" t="s">
        <v>304</v>
      </c>
      <c r="Y229" s="7" t="s">
        <v>115</v>
      </c>
      <c r="Z229" s="7" t="s">
        <v>462</v>
      </c>
      <c r="AA229" s="7">
        <v>0.02</v>
      </c>
      <c r="AB229" s="7">
        <v>0.15</v>
      </c>
      <c r="AC229" s="7">
        <v>0.012</v>
      </c>
      <c r="AD229" s="7">
        <v>0.004</v>
      </c>
      <c r="AE229" s="7">
        <v>0.016</v>
      </c>
      <c r="AF229" s="7">
        <v>0.1</v>
      </c>
      <c r="AG229" s="7">
        <v>0.03</v>
      </c>
      <c r="AH229" s="7">
        <v>0.04</v>
      </c>
      <c r="AI229" s="7">
        <v>0.01</v>
      </c>
      <c r="AJ229" s="7">
        <v>0.003</v>
      </c>
      <c r="AK229" s="7">
        <v>0.044</v>
      </c>
      <c r="AL229" s="7">
        <v>0.001</v>
      </c>
      <c r="AM229" s="7">
        <v>0.001</v>
      </c>
      <c r="AN229" s="7">
        <v>0</v>
      </c>
      <c r="AO229" s="7">
        <v>0.0009</v>
      </c>
      <c r="AP229" s="7">
        <v>0.0055</v>
      </c>
      <c r="AQ229" s="7">
        <v>0.0014</v>
      </c>
    </row>
    <row r="230" ht="30" customHeight="1">
      <c r="A230" s="6">
        <v>5628252</v>
      </c>
      <c r="C230" s="7" t="s">
        <v>51</v>
      </c>
      <c r="D230" s="7" t="s">
        <v>460</v>
      </c>
      <c r="E230" s="6">
        <v>0.027</v>
      </c>
      <c r="F230" s="7" t="s">
        <v>63</v>
      </c>
      <c r="G230" s="8">
        <v>48.13</v>
      </c>
      <c r="H230" s="9">
        <v>48520</v>
      </c>
      <c r="I230" s="10">
        <f t="shared" si="0"/>
        <v>24.26</v>
      </c>
      <c r="J230" s="10">
        <f t="shared" si="1"/>
        <v>485.2</v>
      </c>
      <c r="K230" s="7" t="s">
        <v>90</v>
      </c>
      <c r="V230" s="7" t="s">
        <v>47</v>
      </c>
      <c r="W230" s="7" t="s">
        <v>463</v>
      </c>
      <c r="Z230" s="7" t="s">
        <v>464</v>
      </c>
      <c r="AA230" s="7">
        <v>0.05</v>
      </c>
      <c r="AB230" s="7">
        <v>0.19</v>
      </c>
      <c r="AC230" s="7">
        <v>0.01</v>
      </c>
      <c r="AD230" s="7">
        <v>0.002</v>
      </c>
      <c r="AE230" s="7">
        <v>0.019</v>
      </c>
      <c r="AF230" s="7">
        <v>0.15</v>
      </c>
      <c r="AG230" s="7">
        <v>0.03</v>
      </c>
      <c r="AH230" s="7">
        <v>0.04</v>
      </c>
      <c r="AI230" s="7">
        <v>0.01</v>
      </c>
      <c r="AJ230" s="7">
        <v>0.003</v>
      </c>
      <c r="AK230" s="7">
        <v>0.026</v>
      </c>
      <c r="AL230" s="7">
        <v>0.002</v>
      </c>
      <c r="AM230" s="7">
        <v>0.001</v>
      </c>
      <c r="AN230" s="7">
        <v>0.001</v>
      </c>
      <c r="AO230" s="7">
        <v>0.0004</v>
      </c>
      <c r="AP230" s="7">
        <v>0.0061</v>
      </c>
      <c r="AQ230" s="7">
        <v>0.0022</v>
      </c>
    </row>
    <row r="231" ht="30" customHeight="1">
      <c r="A231" s="6">
        <v>5628253</v>
      </c>
      <c r="C231" s="7" t="s">
        <v>51</v>
      </c>
      <c r="D231" s="7" t="s">
        <v>460</v>
      </c>
      <c r="E231" s="6">
        <v>0.027</v>
      </c>
      <c r="F231" s="7" t="s">
        <v>63</v>
      </c>
      <c r="G231" s="8">
        <v>48.13</v>
      </c>
      <c r="H231" s="9">
        <v>48600</v>
      </c>
      <c r="I231" s="10">
        <f t="shared" si="0"/>
        <v>24.3</v>
      </c>
      <c r="J231" s="10">
        <f t="shared" si="1"/>
        <v>486</v>
      </c>
      <c r="K231" s="7" t="s">
        <v>90</v>
      </c>
      <c r="V231" s="7" t="s">
        <v>47</v>
      </c>
      <c r="W231" s="7" t="s">
        <v>463</v>
      </c>
      <c r="Z231" s="7" t="s">
        <v>465</v>
      </c>
      <c r="AA231" s="7">
        <v>0.05</v>
      </c>
      <c r="AB231" s="7">
        <v>0.19</v>
      </c>
      <c r="AC231" s="7">
        <v>0.01</v>
      </c>
      <c r="AD231" s="7">
        <v>0.002</v>
      </c>
      <c r="AE231" s="7">
        <v>0.019</v>
      </c>
      <c r="AF231" s="7">
        <v>0.15</v>
      </c>
      <c r="AG231" s="7">
        <v>0.03</v>
      </c>
      <c r="AH231" s="7">
        <v>0.04</v>
      </c>
      <c r="AI231" s="7">
        <v>0.01</v>
      </c>
      <c r="AJ231" s="7">
        <v>0.003</v>
      </c>
      <c r="AK231" s="7">
        <v>0.026</v>
      </c>
      <c r="AL231" s="7">
        <v>0.002</v>
      </c>
      <c r="AM231" s="7">
        <v>0.001</v>
      </c>
      <c r="AN231" s="7">
        <v>0.001</v>
      </c>
      <c r="AO231" s="7">
        <v>0.0004</v>
      </c>
      <c r="AP231" s="7">
        <v>0.0061</v>
      </c>
      <c r="AQ231" s="7">
        <v>0.0022</v>
      </c>
    </row>
    <row r="232" ht="30" customHeight="1">
      <c r="A232" s="6">
        <v>5672173</v>
      </c>
      <c r="C232" s="7" t="s">
        <v>51</v>
      </c>
      <c r="D232" s="7" t="s">
        <v>460</v>
      </c>
      <c r="E232" s="6">
        <v>0.029</v>
      </c>
      <c r="F232" s="7" t="s">
        <v>63</v>
      </c>
      <c r="G232" s="8">
        <v>48.44</v>
      </c>
      <c r="H232" s="9">
        <v>48880</v>
      </c>
      <c r="I232" s="10">
        <f t="shared" si="0"/>
        <v>24.44</v>
      </c>
      <c r="J232" s="10">
        <f t="shared" si="1"/>
        <v>488.8</v>
      </c>
      <c r="K232" s="7" t="s">
        <v>167</v>
      </c>
      <c r="V232" s="7" t="s">
        <v>47</v>
      </c>
      <c r="W232" s="7" t="s">
        <v>466</v>
      </c>
      <c r="X232" s="7" t="s">
        <v>467</v>
      </c>
      <c r="Y232" s="7" t="s">
        <v>305</v>
      </c>
      <c r="Z232" s="7" t="s">
        <v>468</v>
      </c>
      <c r="AA232" s="7">
        <v>0.03</v>
      </c>
      <c r="AB232" s="7">
        <v>0.25</v>
      </c>
      <c r="AC232" s="7">
        <v>0.008</v>
      </c>
      <c r="AD232" s="7">
        <v>0.003</v>
      </c>
      <c r="AE232" s="7">
        <v>0.02</v>
      </c>
      <c r="AF232" s="7">
        <v>0.12</v>
      </c>
      <c r="AG232" s="7">
        <v>0.03</v>
      </c>
      <c r="AH232" s="7">
        <v>0.05</v>
      </c>
      <c r="AI232" s="7">
        <v>0.01</v>
      </c>
      <c r="AJ232" s="7">
        <v>0.003</v>
      </c>
      <c r="AK232" s="7">
        <v>0.03</v>
      </c>
      <c r="AL232" s="7">
        <v>0.002</v>
      </c>
      <c r="AM232" s="7">
        <v>0.001</v>
      </c>
      <c r="AN232" s="7">
        <v>0.001</v>
      </c>
      <c r="AO232" s="7">
        <v>0.0061</v>
      </c>
      <c r="AP232" s="7">
        <v>0.0063</v>
      </c>
      <c r="AQ232" s="7">
        <v>0.0024</v>
      </c>
    </row>
    <row r="233" ht="30" customHeight="1">
      <c r="A233" s="6">
        <v>5592391</v>
      </c>
      <c r="C233" s="7" t="s">
        <v>43</v>
      </c>
      <c r="D233" s="7" t="s">
        <v>460</v>
      </c>
      <c r="E233" s="6">
        <v>0.03</v>
      </c>
      <c r="F233" s="7" t="s">
        <v>45</v>
      </c>
      <c r="G233" s="8">
        <v>56.88</v>
      </c>
      <c r="H233" s="9">
        <v>36240</v>
      </c>
      <c r="I233" s="10">
        <f t="shared" si="0"/>
        <v>18.12</v>
      </c>
      <c r="J233" s="10">
        <f t="shared" si="1"/>
        <v>362.4</v>
      </c>
      <c r="K233" s="7" t="s">
        <v>469</v>
      </c>
      <c r="V233" s="7" t="s">
        <v>47</v>
      </c>
      <c r="W233" s="7" t="s">
        <v>470</v>
      </c>
      <c r="X233" s="7" t="s">
        <v>115</v>
      </c>
      <c r="Y233" s="7" t="s">
        <v>471</v>
      </c>
      <c r="AA233" s="7">
        <v>0.003</v>
      </c>
      <c r="AB233" s="7">
        <v>0.05</v>
      </c>
      <c r="AC233" s="7">
        <v>0.006</v>
      </c>
      <c r="AD233" s="7">
        <v>0.002</v>
      </c>
      <c r="AE233" s="7">
        <v>0.03</v>
      </c>
      <c r="AF233" s="7">
        <v>0.08</v>
      </c>
      <c r="AG233" s="7">
        <v>0.03</v>
      </c>
      <c r="AH233" s="7">
        <v>0.04</v>
      </c>
      <c r="AI233" s="7">
        <v>0.01</v>
      </c>
      <c r="AJ233" s="7">
        <v>0.004</v>
      </c>
      <c r="AK233" s="7">
        <v>0.04</v>
      </c>
      <c r="AL233" s="7">
        <v>0.001</v>
      </c>
      <c r="AM233" s="7">
        <v>0</v>
      </c>
      <c r="AN233" s="7">
        <v>0.076</v>
      </c>
      <c r="AO233" s="7">
        <v>0</v>
      </c>
      <c r="AP233" s="7">
        <v>0.005</v>
      </c>
      <c r="AQ233" s="7">
        <v>0.001</v>
      </c>
    </row>
    <row r="234" ht="30" customHeight="1">
      <c r="A234" s="6">
        <v>5626091</v>
      </c>
      <c r="C234" s="7" t="s">
        <v>51</v>
      </c>
      <c r="D234" s="7" t="s">
        <v>460</v>
      </c>
      <c r="E234" s="6">
        <v>0.031</v>
      </c>
      <c r="F234" s="7" t="s">
        <v>45</v>
      </c>
      <c r="G234" s="8">
        <v>37.1</v>
      </c>
      <c r="H234" s="9">
        <v>41120</v>
      </c>
      <c r="I234" s="10">
        <f t="shared" si="0"/>
        <v>20.56</v>
      </c>
      <c r="J234" s="10">
        <f t="shared" si="1"/>
        <v>411.2</v>
      </c>
      <c r="K234" s="7" t="s">
        <v>121</v>
      </c>
      <c r="V234" s="7" t="s">
        <v>58</v>
      </c>
      <c r="W234" s="7" t="s">
        <v>472</v>
      </c>
      <c r="X234" s="7" t="s">
        <v>473</v>
      </c>
      <c r="Z234" s="7" t="s">
        <v>474</v>
      </c>
      <c r="AA234" s="7">
        <v>0.07</v>
      </c>
      <c r="AB234" s="7">
        <v>1.56</v>
      </c>
      <c r="AC234" s="7">
        <v>0.012</v>
      </c>
      <c r="AD234" s="7">
        <v>0.001</v>
      </c>
      <c r="AE234" s="7">
        <v>0.248</v>
      </c>
      <c r="AF234" s="7">
        <v>0.11</v>
      </c>
      <c r="AG234" s="7">
        <v>0.04</v>
      </c>
      <c r="AH234" s="7">
        <v>0.58</v>
      </c>
      <c r="AI234" s="7">
        <v>0.01</v>
      </c>
      <c r="AJ234" s="7">
        <v>0.003</v>
      </c>
      <c r="AK234" s="7">
        <v>0.04</v>
      </c>
      <c r="AL234" s="7">
        <v>0.006</v>
      </c>
      <c r="AM234" s="7">
        <v>0.012</v>
      </c>
      <c r="AN234" s="7">
        <v>0.011</v>
      </c>
      <c r="AO234" s="7">
        <v>0.0003</v>
      </c>
      <c r="AP234" s="7">
        <v>0.0066</v>
      </c>
      <c r="AQ234" s="7">
        <v>0.0011</v>
      </c>
    </row>
    <row r="235" ht="15" customHeight="1">
      <c r="A235" s="6">
        <v>5389239</v>
      </c>
      <c r="C235" s="7" t="s">
        <v>51</v>
      </c>
      <c r="D235" s="7" t="s">
        <v>460</v>
      </c>
      <c r="E235" s="6">
        <v>0.039</v>
      </c>
      <c r="F235" s="7" t="s">
        <v>45</v>
      </c>
      <c r="G235" s="8">
        <v>43</v>
      </c>
      <c r="H235" s="9">
        <v>42180</v>
      </c>
      <c r="I235" s="10">
        <f t="shared" si="0"/>
        <v>21.09</v>
      </c>
      <c r="J235" s="10">
        <f t="shared" si="1"/>
        <v>421.8</v>
      </c>
      <c r="K235" s="7" t="s">
        <v>57</v>
      </c>
      <c r="V235" s="7" t="s">
        <v>47</v>
      </c>
      <c r="W235" s="7" t="s">
        <v>475</v>
      </c>
      <c r="AA235" s="7">
        <v>0.07</v>
      </c>
      <c r="AB235" s="7">
        <v>1.54</v>
      </c>
      <c r="AC235" s="7">
        <v>0.013</v>
      </c>
      <c r="AD235" s="7">
        <v>0.001</v>
      </c>
      <c r="AE235" s="7">
        <v>0.252</v>
      </c>
      <c r="AF235" s="7">
        <v>0.11</v>
      </c>
      <c r="AG235" s="7">
        <v>0.03</v>
      </c>
      <c r="AH235" s="7">
        <v>0.58</v>
      </c>
      <c r="AI235" s="7">
        <v>0.01</v>
      </c>
      <c r="AJ235" s="7">
        <v>0.004</v>
      </c>
      <c r="AK235" s="7">
        <v>0.04</v>
      </c>
      <c r="AL235" s="7">
        <v>0.006</v>
      </c>
      <c r="AM235" s="7">
        <v>0.035</v>
      </c>
      <c r="AN235" s="7">
        <v>0.012</v>
      </c>
      <c r="AO235" s="7">
        <v>0.0006</v>
      </c>
      <c r="AP235" s="7">
        <v>0.0065</v>
      </c>
      <c r="AQ235" s="7">
        <v>0.0017</v>
      </c>
    </row>
    <row r="236" ht="15" customHeight="1">
      <c r="A236" s="6">
        <v>5389240</v>
      </c>
      <c r="C236" s="7" t="s">
        <v>51</v>
      </c>
      <c r="D236" s="7" t="s">
        <v>460</v>
      </c>
      <c r="E236" s="6">
        <v>0.039</v>
      </c>
      <c r="F236" s="7" t="s">
        <v>45</v>
      </c>
      <c r="G236" s="8">
        <v>43</v>
      </c>
      <c r="H236" s="9">
        <v>42800</v>
      </c>
      <c r="I236" s="10">
        <f t="shared" si="0"/>
        <v>21.4</v>
      </c>
      <c r="J236" s="10">
        <f t="shared" si="1"/>
        <v>428</v>
      </c>
      <c r="K236" s="7" t="s">
        <v>57</v>
      </c>
      <c r="V236" s="7" t="s">
        <v>47</v>
      </c>
      <c r="W236" s="7" t="s">
        <v>475</v>
      </c>
      <c r="AA236" s="7">
        <v>0.07</v>
      </c>
      <c r="AB236" s="7">
        <v>1.54</v>
      </c>
      <c r="AC236" s="7">
        <v>0.013</v>
      </c>
      <c r="AD236" s="7">
        <v>0.001</v>
      </c>
      <c r="AE236" s="7">
        <v>0.252</v>
      </c>
      <c r="AF236" s="7">
        <v>0.11</v>
      </c>
      <c r="AG236" s="7">
        <v>0.03</v>
      </c>
      <c r="AH236" s="7">
        <v>0.58</v>
      </c>
      <c r="AI236" s="7">
        <v>0.01</v>
      </c>
      <c r="AJ236" s="7">
        <v>0.004</v>
      </c>
      <c r="AK236" s="7">
        <v>0.04</v>
      </c>
      <c r="AL236" s="7">
        <v>0.006</v>
      </c>
      <c r="AM236" s="7">
        <v>0.035</v>
      </c>
      <c r="AN236" s="7">
        <v>0.012</v>
      </c>
      <c r="AO236" s="7">
        <v>0.0006</v>
      </c>
      <c r="AP236" s="7">
        <v>0.0065</v>
      </c>
      <c r="AQ236" s="7">
        <v>0.0017</v>
      </c>
    </row>
    <row r="237" ht="30" customHeight="1">
      <c r="A237" s="6">
        <v>5632717.002</v>
      </c>
      <c r="C237" s="7" t="s">
        <v>43</v>
      </c>
      <c r="D237" s="7" t="s">
        <v>460</v>
      </c>
      <c r="E237" s="6">
        <v>0.04</v>
      </c>
      <c r="F237" s="7" t="s">
        <v>63</v>
      </c>
      <c r="G237" s="8">
        <v>49.81</v>
      </c>
      <c r="H237" s="9">
        <v>15660</v>
      </c>
      <c r="I237" s="10">
        <f t="shared" si="0"/>
        <v>7.83</v>
      </c>
      <c r="J237" s="10">
        <f t="shared" si="1"/>
        <v>156.6</v>
      </c>
      <c r="K237" s="7" t="s">
        <v>57</v>
      </c>
      <c r="V237" s="7" t="s">
        <v>47</v>
      </c>
      <c r="W237" s="7" t="s">
        <v>323</v>
      </c>
      <c r="X237" s="7" t="s">
        <v>115</v>
      </c>
      <c r="AA237" s="7">
        <v>0.07</v>
      </c>
      <c r="AB237" s="7">
        <v>1.6</v>
      </c>
      <c r="AC237" s="7">
        <v>0.01</v>
      </c>
      <c r="AD237" s="7">
        <v>0.001</v>
      </c>
      <c r="AE237" s="7">
        <v>0.252</v>
      </c>
      <c r="AF237" s="7">
        <v>0.1</v>
      </c>
      <c r="AG237" s="7">
        <v>0.03</v>
      </c>
      <c r="AH237" s="7">
        <v>0.6</v>
      </c>
      <c r="AI237" s="7">
        <v>0.02</v>
      </c>
      <c r="AJ237" s="7">
        <v>0.002</v>
      </c>
      <c r="AK237" s="7">
        <v>0.038</v>
      </c>
      <c r="AL237" s="7">
        <v>0.006</v>
      </c>
      <c r="AM237" s="7">
        <v>0.036</v>
      </c>
      <c r="AN237" s="7">
        <v>0.012</v>
      </c>
      <c r="AO237" s="7">
        <v>0.0003</v>
      </c>
      <c r="AP237" s="7">
        <v>0.0071</v>
      </c>
      <c r="AQ237" s="7">
        <v>0.0011</v>
      </c>
    </row>
    <row r="238" ht="30" customHeight="1">
      <c r="A238" s="6">
        <v>5608791</v>
      </c>
      <c r="C238" s="7" t="s">
        <v>51</v>
      </c>
      <c r="D238" s="7" t="s">
        <v>460</v>
      </c>
      <c r="E238" s="6">
        <v>0.046</v>
      </c>
      <c r="F238" s="7" t="s">
        <v>63</v>
      </c>
      <c r="G238" s="8">
        <v>39.5</v>
      </c>
      <c r="H238" s="9">
        <v>45740</v>
      </c>
      <c r="I238" s="10">
        <f t="shared" si="0"/>
        <v>22.87</v>
      </c>
      <c r="J238" s="10">
        <f t="shared" si="1"/>
        <v>457.4</v>
      </c>
      <c r="K238" s="7" t="s">
        <v>90</v>
      </c>
      <c r="V238" s="7" t="s">
        <v>58</v>
      </c>
      <c r="W238" s="7" t="s">
        <v>476</v>
      </c>
      <c r="AA238" s="7">
        <v>0.05</v>
      </c>
      <c r="AB238" s="7">
        <v>0.2</v>
      </c>
      <c r="AC238" s="7">
        <v>0.009</v>
      </c>
      <c r="AD238" s="7">
        <v>0.002</v>
      </c>
      <c r="AE238" s="7">
        <v>0.029</v>
      </c>
      <c r="AF238" s="7">
        <v>0.12</v>
      </c>
      <c r="AG238" s="7">
        <v>0.03</v>
      </c>
      <c r="AH238" s="7">
        <v>0.06</v>
      </c>
      <c r="AI238" s="7">
        <v>0.01</v>
      </c>
      <c r="AJ238" s="7">
        <v>0.003</v>
      </c>
      <c r="AK238" s="7">
        <v>0.026</v>
      </c>
      <c r="AL238" s="7">
        <v>0.001</v>
      </c>
      <c r="AM238" s="7">
        <v>0.001</v>
      </c>
      <c r="AN238" s="7">
        <v>0</v>
      </c>
      <c r="AO238" s="7">
        <v>0.0001</v>
      </c>
      <c r="AP238" s="7">
        <v>0.0059</v>
      </c>
      <c r="AQ238" s="7">
        <v>0.0016</v>
      </c>
    </row>
    <row r="239" ht="30" customHeight="1">
      <c r="A239" s="6">
        <v>5670993</v>
      </c>
      <c r="C239" s="7" t="s">
        <v>51</v>
      </c>
      <c r="D239" s="7" t="s">
        <v>460</v>
      </c>
      <c r="E239" s="6">
        <v>0.046</v>
      </c>
      <c r="F239" s="7" t="s">
        <v>63</v>
      </c>
      <c r="G239" s="8">
        <v>39.5</v>
      </c>
      <c r="H239" s="9">
        <v>46340</v>
      </c>
      <c r="I239" s="10">
        <f t="shared" si="0"/>
        <v>23.17</v>
      </c>
      <c r="J239" s="10">
        <f t="shared" si="1"/>
        <v>463.4</v>
      </c>
      <c r="K239" s="7" t="s">
        <v>90</v>
      </c>
      <c r="V239" s="7" t="s">
        <v>58</v>
      </c>
      <c r="W239" s="7" t="s">
        <v>477</v>
      </c>
      <c r="AA239" s="7">
        <v>0.05</v>
      </c>
      <c r="AB239" s="7">
        <v>0.2</v>
      </c>
      <c r="AC239" s="7">
        <v>0.009</v>
      </c>
      <c r="AD239" s="7">
        <v>0.002</v>
      </c>
      <c r="AE239" s="7">
        <v>0.029</v>
      </c>
      <c r="AF239" s="7">
        <v>0.12</v>
      </c>
      <c r="AG239" s="7">
        <v>0.03</v>
      </c>
      <c r="AH239" s="7">
        <v>0.06</v>
      </c>
      <c r="AI239" s="7">
        <v>0.01</v>
      </c>
      <c r="AJ239" s="7">
        <v>0.003</v>
      </c>
      <c r="AK239" s="7">
        <v>0.026</v>
      </c>
      <c r="AL239" s="7">
        <v>0.001</v>
      </c>
      <c r="AM239" s="7">
        <v>0.001</v>
      </c>
      <c r="AN239" s="7">
        <v>0</v>
      </c>
      <c r="AO239" s="7">
        <v>0.0001</v>
      </c>
      <c r="AP239" s="7">
        <v>0.0059</v>
      </c>
      <c r="AQ239" s="7">
        <v>0.0016</v>
      </c>
    </row>
    <row r="240" ht="30" customHeight="1">
      <c r="A240" s="6">
        <v>5608792</v>
      </c>
      <c r="C240" s="7" t="s">
        <v>51</v>
      </c>
      <c r="D240" s="7" t="s">
        <v>460</v>
      </c>
      <c r="E240" s="6">
        <v>0.046</v>
      </c>
      <c r="F240" s="7" t="s">
        <v>63</v>
      </c>
      <c r="G240" s="8">
        <v>39.5</v>
      </c>
      <c r="H240" s="9">
        <v>46440</v>
      </c>
      <c r="I240" s="10">
        <f t="shared" si="0"/>
        <v>23.22</v>
      </c>
      <c r="J240" s="10">
        <f t="shared" si="1"/>
        <v>464.4</v>
      </c>
      <c r="K240" s="7" t="s">
        <v>90</v>
      </c>
      <c r="V240" s="7" t="s">
        <v>58</v>
      </c>
      <c r="W240" s="7" t="s">
        <v>477</v>
      </c>
      <c r="AA240" s="7">
        <v>0.05</v>
      </c>
      <c r="AB240" s="7">
        <v>0.2</v>
      </c>
      <c r="AC240" s="7">
        <v>0.009</v>
      </c>
      <c r="AD240" s="7">
        <v>0.002</v>
      </c>
      <c r="AE240" s="7">
        <v>0.029</v>
      </c>
      <c r="AF240" s="7">
        <v>0.12</v>
      </c>
      <c r="AG240" s="7">
        <v>0.03</v>
      </c>
      <c r="AH240" s="7">
        <v>0.06</v>
      </c>
      <c r="AI240" s="7">
        <v>0.01</v>
      </c>
      <c r="AJ240" s="7">
        <v>0.003</v>
      </c>
      <c r="AK240" s="7">
        <v>0.026</v>
      </c>
      <c r="AL240" s="7">
        <v>0.001</v>
      </c>
      <c r="AM240" s="7">
        <v>0.001</v>
      </c>
      <c r="AN240" s="7">
        <v>0</v>
      </c>
      <c r="AO240" s="7">
        <v>0.0001</v>
      </c>
      <c r="AP240" s="7">
        <v>0.0059</v>
      </c>
      <c r="AQ240" s="7">
        <v>0.0016</v>
      </c>
    </row>
    <row r="241" ht="30" customHeight="1">
      <c r="A241" s="6">
        <v>5608780</v>
      </c>
      <c r="C241" s="7" t="s">
        <v>51</v>
      </c>
      <c r="D241" s="7" t="s">
        <v>460</v>
      </c>
      <c r="E241" s="6">
        <v>0.046</v>
      </c>
      <c r="F241" s="7" t="s">
        <v>63</v>
      </c>
      <c r="G241" s="8">
        <v>41</v>
      </c>
      <c r="H241" s="9">
        <v>45860</v>
      </c>
      <c r="I241" s="10">
        <f t="shared" si="0"/>
        <v>22.93</v>
      </c>
      <c r="J241" s="10">
        <f t="shared" si="1"/>
        <v>458.6</v>
      </c>
      <c r="K241" s="7" t="s">
        <v>90</v>
      </c>
      <c r="V241" s="7" t="s">
        <v>47</v>
      </c>
      <c r="W241" s="7" t="s">
        <v>478</v>
      </c>
      <c r="Z241" s="7" t="s">
        <v>479</v>
      </c>
      <c r="AA241" s="7">
        <v>0.05</v>
      </c>
      <c r="AB241" s="7">
        <v>0.19</v>
      </c>
      <c r="AC241" s="7">
        <v>0.009</v>
      </c>
      <c r="AD241" s="7">
        <v>0.003</v>
      </c>
      <c r="AE241" s="7">
        <v>0.017</v>
      </c>
      <c r="AF241" s="7">
        <v>0.12</v>
      </c>
      <c r="AG241" s="7">
        <v>0.03</v>
      </c>
      <c r="AH241" s="7">
        <v>0.05</v>
      </c>
      <c r="AI241" s="7">
        <v>0.01</v>
      </c>
      <c r="AJ241" s="7">
        <v>0.002</v>
      </c>
      <c r="AK241" s="7">
        <v>0.032</v>
      </c>
      <c r="AL241" s="7">
        <v>0.001</v>
      </c>
      <c r="AM241" s="7">
        <v>0.001</v>
      </c>
      <c r="AN241" s="7">
        <v>0</v>
      </c>
      <c r="AO241" s="7">
        <v>0.0001</v>
      </c>
      <c r="AP241" s="7">
        <v>0.0057</v>
      </c>
      <c r="AQ241" s="7">
        <v>0.0014</v>
      </c>
    </row>
    <row r="242" ht="30" customHeight="1">
      <c r="A242" s="6">
        <v>5632726.002</v>
      </c>
      <c r="C242" s="7" t="s">
        <v>43</v>
      </c>
      <c r="D242" s="7" t="s">
        <v>460</v>
      </c>
      <c r="E242" s="6">
        <v>0.055</v>
      </c>
      <c r="F242" s="7" t="s">
        <v>63</v>
      </c>
      <c r="G242" s="8">
        <v>37.75</v>
      </c>
      <c r="H242" s="9">
        <v>13740</v>
      </c>
      <c r="I242" s="10">
        <f t="shared" si="0"/>
        <v>6.87</v>
      </c>
      <c r="J242" s="10">
        <f t="shared" si="1"/>
        <v>137.4</v>
      </c>
      <c r="K242" s="7" t="s">
        <v>90</v>
      </c>
      <c r="V242" s="7" t="s">
        <v>47</v>
      </c>
      <c r="W242" s="7" t="s">
        <v>215</v>
      </c>
      <c r="X242" s="7" t="s">
        <v>115</v>
      </c>
      <c r="AA242" s="7">
        <v>0.05</v>
      </c>
      <c r="AB242" s="7">
        <v>0.19</v>
      </c>
      <c r="AC242" s="7">
        <v>0.008</v>
      </c>
      <c r="AD242" s="7">
        <v>0.002</v>
      </c>
      <c r="AE242" s="7">
        <v>0.024</v>
      </c>
      <c r="AF242" s="7">
        <v>0.11</v>
      </c>
      <c r="AG242" s="7">
        <v>0.03</v>
      </c>
      <c r="AH242" s="7">
        <v>0.05</v>
      </c>
      <c r="AI242" s="7">
        <v>0.01</v>
      </c>
      <c r="AJ242" s="7">
        <v>0.002</v>
      </c>
      <c r="AK242" s="7">
        <v>0.024</v>
      </c>
      <c r="AL242" s="7">
        <v>0.002</v>
      </c>
      <c r="AM242" s="7">
        <v>0.001</v>
      </c>
      <c r="AN242" s="7">
        <v>0</v>
      </c>
      <c r="AO242" s="7">
        <v>0.0003</v>
      </c>
      <c r="AP242" s="7">
        <v>0.0055</v>
      </c>
      <c r="AQ242" s="7">
        <v>0.0012</v>
      </c>
    </row>
    <row r="243" ht="30" customHeight="1">
      <c r="A243" s="6">
        <v>5620113</v>
      </c>
      <c r="C243" s="7" t="s">
        <v>51</v>
      </c>
      <c r="D243" s="7" t="s">
        <v>460</v>
      </c>
      <c r="E243" s="6">
        <v>0.069</v>
      </c>
      <c r="F243" s="7" t="s">
        <v>45</v>
      </c>
      <c r="G243" s="8">
        <v>49.19</v>
      </c>
      <c r="H243" s="9">
        <v>44840</v>
      </c>
      <c r="I243" s="10">
        <f t="shared" si="0"/>
        <v>22.42</v>
      </c>
      <c r="J243" s="10">
        <f t="shared" si="1"/>
        <v>448.4</v>
      </c>
      <c r="K243" s="7" t="s">
        <v>121</v>
      </c>
      <c r="V243" s="7" t="s">
        <v>47</v>
      </c>
      <c r="W243" s="7" t="s">
        <v>480</v>
      </c>
      <c r="X243" s="7" t="s">
        <v>473</v>
      </c>
      <c r="Z243" s="7" t="s">
        <v>481</v>
      </c>
      <c r="AA243" s="7">
        <v>0.07</v>
      </c>
      <c r="AB243" s="7">
        <v>1.52</v>
      </c>
      <c r="AC243" s="7">
        <v>0.011</v>
      </c>
      <c r="AD243" s="7">
        <v>0.002</v>
      </c>
      <c r="AE243" s="7">
        <v>0.266</v>
      </c>
      <c r="AF243" s="7">
        <v>0.12</v>
      </c>
      <c r="AG243" s="7">
        <v>0.03</v>
      </c>
      <c r="AH243" s="7">
        <v>0.6</v>
      </c>
      <c r="AI243" s="7">
        <v>0.02</v>
      </c>
      <c r="AJ243" s="7">
        <v>0.003</v>
      </c>
      <c r="AK243" s="7">
        <v>0.036</v>
      </c>
      <c r="AL243" s="7">
        <v>0.006</v>
      </c>
      <c r="AM243" s="7">
        <v>0.012</v>
      </c>
      <c r="AN243" s="7">
        <v>0.011</v>
      </c>
      <c r="AO243" s="7">
        <v>0.0001</v>
      </c>
      <c r="AP243" s="7">
        <v>0.0053</v>
      </c>
      <c r="AQ243" s="7">
        <v>0.001</v>
      </c>
    </row>
    <row r="244" ht="15" customHeight="1">
      <c r="A244" s="6">
        <v>5643070</v>
      </c>
      <c r="C244" s="7" t="s">
        <v>51</v>
      </c>
      <c r="D244" s="7" t="s">
        <v>460</v>
      </c>
      <c r="E244" s="6">
        <v>0.069</v>
      </c>
      <c r="F244" s="7" t="s">
        <v>45</v>
      </c>
      <c r="G244" s="8">
        <v>49.19</v>
      </c>
      <c r="H244" s="9">
        <v>44860</v>
      </c>
      <c r="I244" s="10">
        <f t="shared" si="0"/>
        <v>22.43</v>
      </c>
      <c r="J244" s="10">
        <f t="shared" si="1"/>
        <v>448.6</v>
      </c>
      <c r="K244" s="7" t="s">
        <v>121</v>
      </c>
      <c r="V244" s="7" t="s">
        <v>47</v>
      </c>
      <c r="W244" s="7" t="s">
        <v>480</v>
      </c>
      <c r="AA244" s="7">
        <v>0.07</v>
      </c>
      <c r="AB244" s="7">
        <v>1.52</v>
      </c>
      <c r="AC244" s="7">
        <v>0.011</v>
      </c>
      <c r="AD244" s="7">
        <v>0.002</v>
      </c>
      <c r="AE244" s="7">
        <v>0.266</v>
      </c>
      <c r="AF244" s="7">
        <v>0.12</v>
      </c>
      <c r="AG244" s="7">
        <v>0.03</v>
      </c>
      <c r="AH244" s="7">
        <v>0.6</v>
      </c>
      <c r="AI244" s="7">
        <v>0.02</v>
      </c>
      <c r="AJ244" s="7">
        <v>0.003</v>
      </c>
      <c r="AK244" s="7">
        <v>0.036</v>
      </c>
      <c r="AL244" s="7">
        <v>0.006</v>
      </c>
      <c r="AM244" s="7">
        <v>0.012</v>
      </c>
      <c r="AN244" s="7">
        <v>0.011</v>
      </c>
      <c r="AO244" s="7">
        <v>0.0001</v>
      </c>
      <c r="AP244" s="7">
        <v>0.0053</v>
      </c>
      <c r="AQ244" s="7">
        <v>0.001</v>
      </c>
    </row>
    <row r="245" ht="30" customHeight="1">
      <c r="A245" s="6">
        <v>5677554.002</v>
      </c>
      <c r="C245" s="7" t="s">
        <v>43</v>
      </c>
      <c r="D245" s="7" t="s">
        <v>460</v>
      </c>
      <c r="E245" s="6">
        <v>0.082</v>
      </c>
      <c r="F245" s="7" t="s">
        <v>63</v>
      </c>
      <c r="G245" s="8">
        <v>46.13</v>
      </c>
      <c r="H245" s="9">
        <v>20420</v>
      </c>
      <c r="I245" s="10">
        <f t="shared" si="0"/>
        <v>10.21</v>
      </c>
      <c r="J245" s="10">
        <f t="shared" si="1"/>
        <v>204.2</v>
      </c>
      <c r="K245" s="7" t="s">
        <v>333</v>
      </c>
      <c r="V245" s="7" t="s">
        <v>47</v>
      </c>
      <c r="W245" s="7" t="s">
        <v>215</v>
      </c>
      <c r="X245" s="7" t="s">
        <v>115</v>
      </c>
      <c r="Y245" s="7" t="s">
        <v>482</v>
      </c>
      <c r="Z245" s="7" t="s">
        <v>483</v>
      </c>
      <c r="AA245" s="7">
        <v>0.06</v>
      </c>
      <c r="AB245" s="7">
        <v>0.96</v>
      </c>
      <c r="AC245" s="7">
        <v>0.02</v>
      </c>
      <c r="AD245" s="7">
        <v>0.001</v>
      </c>
      <c r="AE245" s="7">
        <v>0.318</v>
      </c>
      <c r="AF245" s="7">
        <v>0.32</v>
      </c>
      <c r="AG245" s="7">
        <v>0.03</v>
      </c>
      <c r="AH245" s="7">
        <v>0.44</v>
      </c>
      <c r="AI245" s="7">
        <v>0.01</v>
      </c>
      <c r="AJ245" s="7">
        <v>0.004</v>
      </c>
      <c r="AK245" s="7">
        <v>0.027</v>
      </c>
      <c r="AL245" s="7">
        <v>0.024</v>
      </c>
      <c r="AM245" s="7">
        <v>0.016</v>
      </c>
      <c r="AN245" s="7">
        <v>0.012</v>
      </c>
      <c r="AO245" s="7">
        <v>0.0039</v>
      </c>
      <c r="AP245" s="7">
        <v>0.0049</v>
      </c>
      <c r="AQ245" s="7">
        <v>0.0015</v>
      </c>
    </row>
    <row r="246" ht="15" customHeight="1">
      <c r="A246" s="6">
        <v>5699231.902</v>
      </c>
      <c r="C246" s="7" t="s">
        <v>51</v>
      </c>
      <c r="D246" s="7" t="s">
        <v>484</v>
      </c>
      <c r="E246" s="6">
        <v>0.02</v>
      </c>
      <c r="F246" s="7" t="s">
        <v>63</v>
      </c>
      <c r="G246" s="8">
        <v>60.06</v>
      </c>
      <c r="H246" s="9">
        <v>22480</v>
      </c>
      <c r="I246" s="10">
        <f t="shared" si="0"/>
        <v>11.24</v>
      </c>
      <c r="J246" s="10">
        <f t="shared" si="1"/>
        <v>224.8</v>
      </c>
      <c r="K246" s="7" t="s">
        <v>90</v>
      </c>
      <c r="S246" s="7">
        <v>57</v>
      </c>
      <c r="T246" s="7" t="s">
        <v>485</v>
      </c>
      <c r="U246" s="7" t="s">
        <v>486</v>
      </c>
      <c r="V246" s="7" t="s">
        <v>47</v>
      </c>
      <c r="W246" s="7" t="s">
        <v>487</v>
      </c>
      <c r="X246" s="7" t="s">
        <v>488</v>
      </c>
      <c r="Z246" s="7" t="s">
        <v>489</v>
      </c>
      <c r="AA246" s="7">
        <v>0.04</v>
      </c>
      <c r="AB246" s="7">
        <v>0.18</v>
      </c>
      <c r="AC246" s="7">
        <v>0.008</v>
      </c>
      <c r="AD246" s="7">
        <v>0.001</v>
      </c>
      <c r="AE246" s="7">
        <v>0.023</v>
      </c>
      <c r="AF246" s="7">
        <v>0.14</v>
      </c>
      <c r="AG246" s="7">
        <v>0.03</v>
      </c>
      <c r="AH246" s="7">
        <v>0.06</v>
      </c>
      <c r="AI246" s="7">
        <v>0.01</v>
      </c>
      <c r="AJ246" s="7">
        <v>0.007</v>
      </c>
      <c r="AK246" s="7">
        <v>0.031</v>
      </c>
      <c r="AL246" s="7">
        <v>0.001</v>
      </c>
      <c r="AM246" s="7">
        <v>0.001</v>
      </c>
      <c r="AN246" s="7">
        <v>0.001</v>
      </c>
      <c r="AO246" s="7">
        <v>0.0001</v>
      </c>
      <c r="AP246" s="7">
        <v>0.0057</v>
      </c>
      <c r="AQ246" s="7">
        <v>0.0016</v>
      </c>
    </row>
    <row r="247" ht="15" customHeight="1">
      <c r="A247" s="6">
        <v>5699231.901</v>
      </c>
      <c r="C247" s="7" t="s">
        <v>51</v>
      </c>
      <c r="D247" s="7" t="s">
        <v>484</v>
      </c>
      <c r="E247" s="6">
        <v>0.02</v>
      </c>
      <c r="F247" s="7" t="s">
        <v>63</v>
      </c>
      <c r="G247" s="8">
        <v>60.06</v>
      </c>
      <c r="H247" s="9">
        <v>23100</v>
      </c>
      <c r="I247" s="10">
        <f t="shared" si="0"/>
        <v>11.55</v>
      </c>
      <c r="J247" s="10">
        <f t="shared" si="1"/>
        <v>231</v>
      </c>
      <c r="K247" s="7" t="s">
        <v>90</v>
      </c>
      <c r="S247" s="7">
        <v>57</v>
      </c>
      <c r="T247" s="7" t="s">
        <v>485</v>
      </c>
      <c r="U247" s="7" t="s">
        <v>486</v>
      </c>
      <c r="V247" s="7" t="s">
        <v>47</v>
      </c>
      <c r="W247" s="7" t="s">
        <v>487</v>
      </c>
      <c r="X247" s="7" t="s">
        <v>488</v>
      </c>
      <c r="Z247" s="7" t="s">
        <v>489</v>
      </c>
      <c r="AA247" s="7">
        <v>0.04</v>
      </c>
      <c r="AB247" s="7">
        <v>0.18</v>
      </c>
      <c r="AC247" s="7">
        <v>0.008</v>
      </c>
      <c r="AD247" s="7">
        <v>0.001</v>
      </c>
      <c r="AE247" s="7">
        <v>0.023</v>
      </c>
      <c r="AF247" s="7">
        <v>0.14</v>
      </c>
      <c r="AG247" s="7">
        <v>0.03</v>
      </c>
      <c r="AH247" s="7">
        <v>0.06</v>
      </c>
      <c r="AI247" s="7">
        <v>0.01</v>
      </c>
      <c r="AJ247" s="7">
        <v>0.007</v>
      </c>
      <c r="AK247" s="7">
        <v>0.031</v>
      </c>
      <c r="AL247" s="7">
        <v>0.001</v>
      </c>
      <c r="AM247" s="7">
        <v>0.001</v>
      </c>
      <c r="AN247" s="7">
        <v>0.001</v>
      </c>
      <c r="AO247" s="7">
        <v>0.0001</v>
      </c>
      <c r="AP247" s="7">
        <v>0.0057</v>
      </c>
      <c r="AQ247" s="7">
        <v>0.0016</v>
      </c>
    </row>
    <row r="248" ht="15" customHeight="1">
      <c r="A248" s="6">
        <v>5679670.901</v>
      </c>
      <c r="C248" s="7" t="s">
        <v>51</v>
      </c>
      <c r="D248" s="7" t="s">
        <v>484</v>
      </c>
      <c r="E248" s="6">
        <v>0.024</v>
      </c>
      <c r="F248" s="7" t="s">
        <v>63</v>
      </c>
      <c r="G248" s="8">
        <v>48.06</v>
      </c>
      <c r="H248" s="9">
        <v>23500</v>
      </c>
      <c r="I248" s="10">
        <f t="shared" si="0"/>
        <v>11.75</v>
      </c>
      <c r="J248" s="10">
        <f t="shared" si="1"/>
        <v>235</v>
      </c>
      <c r="K248" s="7" t="s">
        <v>90</v>
      </c>
      <c r="S248" s="7">
        <v>63</v>
      </c>
      <c r="T248" s="7" t="s">
        <v>490</v>
      </c>
      <c r="U248" s="7" t="s">
        <v>486</v>
      </c>
      <c r="V248" s="7" t="s">
        <v>47</v>
      </c>
      <c r="W248" s="7" t="s">
        <v>491</v>
      </c>
      <c r="AA248" s="7">
        <v>0.04</v>
      </c>
      <c r="AB248" s="7">
        <v>0.19</v>
      </c>
      <c r="AC248" s="7">
        <v>0.008</v>
      </c>
      <c r="AD248" s="7">
        <v>0.002</v>
      </c>
      <c r="AE248" s="7">
        <v>0.022</v>
      </c>
      <c r="AF248" s="7">
        <v>0.1</v>
      </c>
      <c r="AG248" s="7">
        <v>0.03</v>
      </c>
      <c r="AH248" s="7">
        <v>0.06</v>
      </c>
      <c r="AI248" s="7">
        <v>0.01</v>
      </c>
      <c r="AJ248" s="7">
        <v>0.002</v>
      </c>
      <c r="AK248" s="7">
        <v>0.03</v>
      </c>
      <c r="AL248" s="7">
        <v>0.002</v>
      </c>
      <c r="AM248" s="7">
        <v>0.001</v>
      </c>
      <c r="AN248" s="7">
        <v>0</v>
      </c>
      <c r="AO248" s="7">
        <v>0.0001</v>
      </c>
      <c r="AP248" s="7">
        <v>0.006</v>
      </c>
      <c r="AQ248" s="7">
        <v>0.0021</v>
      </c>
    </row>
    <row r="249" ht="30" customHeight="1">
      <c r="A249" s="6">
        <v>5434483.904</v>
      </c>
      <c r="C249" s="7" t="s">
        <v>51</v>
      </c>
      <c r="D249" s="7" t="s">
        <v>484</v>
      </c>
      <c r="E249" s="6">
        <v>0.028</v>
      </c>
      <c r="F249" s="7" t="s">
        <v>63</v>
      </c>
      <c r="G249" s="8">
        <v>59.25</v>
      </c>
      <c r="H249" s="9">
        <v>23360</v>
      </c>
      <c r="I249" s="10">
        <f t="shared" si="0"/>
        <v>11.68</v>
      </c>
      <c r="J249" s="10">
        <f t="shared" si="1"/>
        <v>233.6</v>
      </c>
      <c r="K249" s="7" t="s">
        <v>90</v>
      </c>
      <c r="T249" s="7" t="s">
        <v>492</v>
      </c>
      <c r="U249" s="7" t="s">
        <v>493</v>
      </c>
      <c r="V249" s="7" t="s">
        <v>47</v>
      </c>
      <c r="W249" s="7" t="s">
        <v>494</v>
      </c>
      <c r="X249" s="7" t="s">
        <v>495</v>
      </c>
      <c r="Y249" s="7" t="s">
        <v>390</v>
      </c>
      <c r="Z249" s="7" t="s">
        <v>496</v>
      </c>
      <c r="AA249" s="7">
        <v>0.04</v>
      </c>
      <c r="AB249" s="7">
        <v>0.19</v>
      </c>
      <c r="AC249" s="7">
        <v>0.004</v>
      </c>
      <c r="AD249" s="7">
        <v>0.003</v>
      </c>
      <c r="AE249" s="7">
        <v>0.03</v>
      </c>
      <c r="AF249" s="7">
        <v>0.14</v>
      </c>
      <c r="AG249" s="7">
        <v>0.03</v>
      </c>
      <c r="AH249" s="7">
        <v>0.05</v>
      </c>
      <c r="AI249" s="7">
        <v>0.01</v>
      </c>
      <c r="AJ249" s="7">
        <v>0.004</v>
      </c>
      <c r="AK249" s="7">
        <v>0.034</v>
      </c>
      <c r="AL249" s="7">
        <v>0.002</v>
      </c>
      <c r="AM249" s="7">
        <v>0</v>
      </c>
      <c r="AN249" s="7">
        <v>0</v>
      </c>
      <c r="AO249" s="7">
        <v>0.0001</v>
      </c>
      <c r="AP249" s="7">
        <v>0.0071</v>
      </c>
      <c r="AQ249" s="7">
        <v>0.0021</v>
      </c>
    </row>
    <row r="250" ht="45" customHeight="1">
      <c r="A250" s="6">
        <v>5657165.901</v>
      </c>
      <c r="C250" s="7" t="s">
        <v>51</v>
      </c>
      <c r="D250" s="7" t="s">
        <v>484</v>
      </c>
      <c r="E250" s="6">
        <v>0.028</v>
      </c>
      <c r="F250" s="7" t="s">
        <v>63</v>
      </c>
      <c r="G250" s="8">
        <v>63.06</v>
      </c>
      <c r="H250" s="9">
        <v>13400</v>
      </c>
      <c r="I250" s="10">
        <f t="shared" si="0"/>
        <v>6.7</v>
      </c>
      <c r="J250" s="10">
        <f t="shared" si="1"/>
        <v>134</v>
      </c>
      <c r="K250" s="7" t="s">
        <v>68</v>
      </c>
      <c r="P250" s="7">
        <v>36.2</v>
      </c>
      <c r="Q250" s="7">
        <v>50</v>
      </c>
      <c r="S250" s="7">
        <v>44</v>
      </c>
      <c r="T250" s="7" t="s">
        <v>497</v>
      </c>
      <c r="U250" s="7" t="s">
        <v>498</v>
      </c>
      <c r="V250" s="7" t="s">
        <v>355</v>
      </c>
      <c r="W250" s="7" t="s">
        <v>499</v>
      </c>
      <c r="X250" s="7" t="s">
        <v>500</v>
      </c>
      <c r="Y250" s="7" t="s">
        <v>501</v>
      </c>
      <c r="Z250" s="7" t="s">
        <v>502</v>
      </c>
      <c r="AA250" s="7">
        <v>0.02</v>
      </c>
      <c r="AB250" s="7">
        <v>0.16</v>
      </c>
      <c r="AC250" s="7">
        <v>0.006</v>
      </c>
      <c r="AD250" s="7">
        <v>0.003</v>
      </c>
      <c r="AE250" s="7">
        <v>0.02</v>
      </c>
      <c r="AF250" s="7">
        <v>0.08</v>
      </c>
      <c r="AG250" s="7">
        <v>0.03</v>
      </c>
      <c r="AH250" s="7">
        <v>0.03</v>
      </c>
      <c r="AI250" s="7">
        <v>0.01</v>
      </c>
      <c r="AJ250" s="7">
        <v>0.002</v>
      </c>
      <c r="AK250" s="7">
        <v>0.035</v>
      </c>
      <c r="AL250" s="7">
        <v>0.002</v>
      </c>
      <c r="AM250" s="7">
        <v>0.001</v>
      </c>
      <c r="AN250" s="7">
        <v>0</v>
      </c>
      <c r="AO250" s="7">
        <v>0.0001</v>
      </c>
      <c r="AP250" s="7">
        <v>0.0047</v>
      </c>
      <c r="AQ250" s="7">
        <v>0.0014</v>
      </c>
    </row>
    <row r="251" ht="30" customHeight="1">
      <c r="A251" s="6">
        <v>5608262.902</v>
      </c>
      <c r="C251" s="7" t="s">
        <v>43</v>
      </c>
      <c r="D251" s="7" t="s">
        <v>484</v>
      </c>
      <c r="E251" s="6">
        <v>0.03</v>
      </c>
      <c r="F251" s="7" t="s">
        <v>63</v>
      </c>
      <c r="G251" s="8">
        <v>52.09</v>
      </c>
      <c r="H251" s="9">
        <v>31500</v>
      </c>
      <c r="I251" s="10">
        <f t="shared" si="0"/>
        <v>15.75</v>
      </c>
      <c r="J251" s="10">
        <f t="shared" si="1"/>
        <v>315</v>
      </c>
      <c r="K251" s="7" t="s">
        <v>90</v>
      </c>
      <c r="S251" s="7">
        <v>-1</v>
      </c>
      <c r="T251" s="7" t="s">
        <v>503</v>
      </c>
      <c r="U251" s="7" t="s">
        <v>493</v>
      </c>
      <c r="V251" s="7" t="s">
        <v>47</v>
      </c>
      <c r="W251" s="7" t="s">
        <v>504</v>
      </c>
      <c r="X251" s="7" t="s">
        <v>505</v>
      </c>
      <c r="Y251" s="7" t="s">
        <v>506</v>
      </c>
      <c r="AA251" s="7">
        <v>0.04</v>
      </c>
      <c r="AB251" s="7">
        <v>0.2</v>
      </c>
      <c r="AC251" s="7">
        <v>0.007</v>
      </c>
      <c r="AD251" s="7">
        <v>0.002</v>
      </c>
      <c r="AE251" s="7">
        <v>0.018</v>
      </c>
      <c r="AF251" s="7">
        <v>0.11</v>
      </c>
      <c r="AG251" s="7">
        <v>0.03</v>
      </c>
      <c r="AH251" s="7">
        <v>0.05</v>
      </c>
      <c r="AI251" s="7">
        <v>0.01</v>
      </c>
      <c r="AJ251" s="7">
        <v>0.002</v>
      </c>
      <c r="AK251" s="7">
        <v>0.022</v>
      </c>
      <c r="AL251" s="7">
        <v>0.001</v>
      </c>
      <c r="AM251" s="7">
        <v>0.001</v>
      </c>
      <c r="AN251" s="7">
        <v>0</v>
      </c>
      <c r="AO251" s="7">
        <v>0.0002</v>
      </c>
      <c r="AP251" s="7">
        <v>0.0045</v>
      </c>
      <c r="AQ251" s="7">
        <v>0.0036</v>
      </c>
    </row>
    <row r="252" ht="45" customHeight="1">
      <c r="A252" s="6">
        <v>5650679.903</v>
      </c>
      <c r="C252" s="7" t="s">
        <v>51</v>
      </c>
      <c r="D252" s="7" t="s">
        <v>484</v>
      </c>
      <c r="E252" s="6">
        <v>0.03</v>
      </c>
      <c r="F252" s="7" t="s">
        <v>63</v>
      </c>
      <c r="G252" s="8">
        <v>59.44</v>
      </c>
      <c r="H252" s="9">
        <v>21580</v>
      </c>
      <c r="I252" s="10">
        <f t="shared" si="0"/>
        <v>10.79</v>
      </c>
      <c r="J252" s="10">
        <f t="shared" si="1"/>
        <v>215.8</v>
      </c>
      <c r="K252" s="7" t="s">
        <v>90</v>
      </c>
      <c r="S252" s="7">
        <v>63</v>
      </c>
      <c r="T252" s="7" t="s">
        <v>507</v>
      </c>
      <c r="U252" s="7" t="s">
        <v>493</v>
      </c>
      <c r="V252" s="7" t="s">
        <v>47</v>
      </c>
      <c r="W252" s="7" t="s">
        <v>508</v>
      </c>
      <c r="Z252" s="7" t="s">
        <v>509</v>
      </c>
      <c r="AA252" s="7">
        <v>0.04</v>
      </c>
      <c r="AB252" s="7">
        <v>0.22</v>
      </c>
      <c r="AC252" s="7">
        <v>0.013</v>
      </c>
      <c r="AD252" s="7">
        <v>0.001</v>
      </c>
      <c r="AE252" s="7">
        <v>0.03</v>
      </c>
      <c r="AF252" s="7">
        <v>0.14</v>
      </c>
      <c r="AG252" s="7">
        <v>0.04</v>
      </c>
      <c r="AH252" s="7">
        <v>0.08</v>
      </c>
      <c r="AI252" s="7">
        <v>0.01</v>
      </c>
      <c r="AJ252" s="7">
        <v>0.009</v>
      </c>
      <c r="AK252" s="7">
        <v>0.028</v>
      </c>
      <c r="AL252" s="7">
        <v>0.003</v>
      </c>
      <c r="AM252" s="7">
        <v>0.002</v>
      </c>
      <c r="AN252" s="7">
        <v>0.001</v>
      </c>
      <c r="AO252" s="7">
        <v>0.0001</v>
      </c>
      <c r="AP252" s="7">
        <v>0.0059</v>
      </c>
      <c r="AQ252" s="7">
        <v>0.0017</v>
      </c>
    </row>
    <row r="253" ht="45" customHeight="1">
      <c r="A253" s="6">
        <v>5650679.902</v>
      </c>
      <c r="C253" s="7" t="s">
        <v>51</v>
      </c>
      <c r="D253" s="7" t="s">
        <v>484</v>
      </c>
      <c r="E253" s="6">
        <v>0.03</v>
      </c>
      <c r="F253" s="7" t="s">
        <v>63</v>
      </c>
      <c r="G253" s="8">
        <v>59.44</v>
      </c>
      <c r="H253" s="9">
        <v>22340</v>
      </c>
      <c r="I253" s="10">
        <f t="shared" si="0"/>
        <v>11.17</v>
      </c>
      <c r="J253" s="10">
        <f t="shared" si="1"/>
        <v>223.4</v>
      </c>
      <c r="K253" s="7" t="s">
        <v>90</v>
      </c>
      <c r="S253" s="7">
        <v>63</v>
      </c>
      <c r="T253" s="7" t="s">
        <v>507</v>
      </c>
      <c r="U253" s="7" t="s">
        <v>493</v>
      </c>
      <c r="V253" s="7" t="s">
        <v>47</v>
      </c>
      <c r="W253" s="7" t="s">
        <v>508</v>
      </c>
      <c r="Z253" s="7" t="s">
        <v>510</v>
      </c>
      <c r="AA253" s="7">
        <v>0.04</v>
      </c>
      <c r="AB253" s="7">
        <v>0.22</v>
      </c>
      <c r="AC253" s="7">
        <v>0.013</v>
      </c>
      <c r="AD253" s="7">
        <v>0.001</v>
      </c>
      <c r="AE253" s="7">
        <v>0.03</v>
      </c>
      <c r="AF253" s="7">
        <v>0.14</v>
      </c>
      <c r="AG253" s="7">
        <v>0.04</v>
      </c>
      <c r="AH253" s="7">
        <v>0.08</v>
      </c>
      <c r="AI253" s="7">
        <v>0.01</v>
      </c>
      <c r="AJ253" s="7">
        <v>0.009</v>
      </c>
      <c r="AK253" s="7">
        <v>0.028</v>
      </c>
      <c r="AL253" s="7">
        <v>0.003</v>
      </c>
      <c r="AM253" s="7">
        <v>0.002</v>
      </c>
      <c r="AN253" s="7">
        <v>0.001</v>
      </c>
      <c r="AO253" s="7">
        <v>0.0001</v>
      </c>
      <c r="AP253" s="7">
        <v>0.0059</v>
      </c>
      <c r="AQ253" s="7">
        <v>0.0017</v>
      </c>
    </row>
    <row r="254" ht="45" customHeight="1">
      <c r="A254" s="6">
        <v>5650679.901</v>
      </c>
      <c r="C254" s="7" t="s">
        <v>51</v>
      </c>
      <c r="D254" s="7" t="s">
        <v>484</v>
      </c>
      <c r="E254" s="6">
        <v>0.03</v>
      </c>
      <c r="F254" s="7" t="s">
        <v>63</v>
      </c>
      <c r="G254" s="8">
        <v>59.44</v>
      </c>
      <c r="H254" s="9">
        <v>22360</v>
      </c>
      <c r="I254" s="10">
        <f t="shared" si="0"/>
        <v>11.18</v>
      </c>
      <c r="J254" s="10">
        <f t="shared" si="1"/>
        <v>223.6</v>
      </c>
      <c r="K254" s="7" t="s">
        <v>90</v>
      </c>
      <c r="S254" s="7">
        <v>63</v>
      </c>
      <c r="T254" s="7" t="s">
        <v>507</v>
      </c>
      <c r="U254" s="7" t="s">
        <v>493</v>
      </c>
      <c r="V254" s="7" t="s">
        <v>47</v>
      </c>
      <c r="W254" s="7" t="s">
        <v>508</v>
      </c>
      <c r="Z254" s="7" t="s">
        <v>510</v>
      </c>
      <c r="AA254" s="7">
        <v>0.04</v>
      </c>
      <c r="AB254" s="7">
        <v>0.22</v>
      </c>
      <c r="AC254" s="7">
        <v>0.013</v>
      </c>
      <c r="AD254" s="7">
        <v>0.001</v>
      </c>
      <c r="AE254" s="7">
        <v>0.03</v>
      </c>
      <c r="AF254" s="7">
        <v>0.14</v>
      </c>
      <c r="AG254" s="7">
        <v>0.04</v>
      </c>
      <c r="AH254" s="7">
        <v>0.08</v>
      </c>
      <c r="AI254" s="7">
        <v>0.01</v>
      </c>
      <c r="AJ254" s="7">
        <v>0.009</v>
      </c>
      <c r="AK254" s="7">
        <v>0.028</v>
      </c>
      <c r="AL254" s="7">
        <v>0.003</v>
      </c>
      <c r="AM254" s="7">
        <v>0.002</v>
      </c>
      <c r="AN254" s="7">
        <v>0.001</v>
      </c>
      <c r="AO254" s="7">
        <v>0.0001</v>
      </c>
      <c r="AP254" s="7">
        <v>0.0059</v>
      </c>
      <c r="AQ254" s="7">
        <v>0.0017</v>
      </c>
    </row>
    <row r="255" ht="30" customHeight="1">
      <c r="A255" s="6">
        <v>5650682.903</v>
      </c>
      <c r="C255" s="7" t="s">
        <v>51</v>
      </c>
      <c r="D255" s="7" t="s">
        <v>484</v>
      </c>
      <c r="E255" s="6">
        <v>0.03</v>
      </c>
      <c r="F255" s="7" t="s">
        <v>63</v>
      </c>
      <c r="G255" s="8">
        <v>59.44</v>
      </c>
      <c r="H255" s="9">
        <v>22860</v>
      </c>
      <c r="I255" s="10">
        <f t="shared" si="0"/>
        <v>11.43</v>
      </c>
      <c r="J255" s="10">
        <f t="shared" si="1"/>
        <v>228.6</v>
      </c>
      <c r="K255" s="7" t="s">
        <v>90</v>
      </c>
      <c r="S255" s="7">
        <v>60</v>
      </c>
      <c r="T255" s="7" t="s">
        <v>507</v>
      </c>
      <c r="U255" s="7" t="s">
        <v>493</v>
      </c>
      <c r="V255" s="7" t="s">
        <v>47</v>
      </c>
      <c r="W255" s="7" t="s">
        <v>508</v>
      </c>
      <c r="X255" s="7" t="s">
        <v>511</v>
      </c>
      <c r="AA255" s="7">
        <v>0.05</v>
      </c>
      <c r="AB255" s="7">
        <v>0.18</v>
      </c>
      <c r="AC255" s="7">
        <v>0.013</v>
      </c>
      <c r="AD255" s="7">
        <v>0.004</v>
      </c>
      <c r="AE255" s="7">
        <v>0.02</v>
      </c>
      <c r="AF255" s="7">
        <v>0.11</v>
      </c>
      <c r="AG255" s="7">
        <v>0.03</v>
      </c>
      <c r="AH255" s="7">
        <v>0.05</v>
      </c>
      <c r="AI255" s="7">
        <v>0.01</v>
      </c>
      <c r="AJ255" s="7">
        <v>0.005</v>
      </c>
      <c r="AK255" s="7">
        <v>0.031</v>
      </c>
      <c r="AL255" s="7">
        <v>0.001</v>
      </c>
      <c r="AM255" s="7">
        <v>0.001</v>
      </c>
      <c r="AN255" s="7">
        <v>0.001</v>
      </c>
      <c r="AO255" s="7">
        <v>0.0001</v>
      </c>
      <c r="AP255" s="7">
        <v>0.0056</v>
      </c>
      <c r="AQ255" s="7">
        <v>0.0019</v>
      </c>
    </row>
    <row r="256" ht="30" customHeight="1">
      <c r="A256" s="6">
        <v>5650682.901</v>
      </c>
      <c r="C256" s="7" t="s">
        <v>51</v>
      </c>
      <c r="D256" s="7" t="s">
        <v>484</v>
      </c>
      <c r="E256" s="6">
        <v>0.03</v>
      </c>
      <c r="F256" s="7" t="s">
        <v>63</v>
      </c>
      <c r="G256" s="8">
        <v>59.44</v>
      </c>
      <c r="H256" s="9">
        <v>23400</v>
      </c>
      <c r="I256" s="10">
        <f t="shared" si="0"/>
        <v>11.7</v>
      </c>
      <c r="J256" s="10">
        <f t="shared" si="1"/>
        <v>234</v>
      </c>
      <c r="K256" s="7" t="s">
        <v>90</v>
      </c>
      <c r="S256" s="7">
        <v>60</v>
      </c>
      <c r="T256" s="7" t="s">
        <v>507</v>
      </c>
      <c r="U256" s="7" t="s">
        <v>493</v>
      </c>
      <c r="V256" s="7" t="s">
        <v>47</v>
      </c>
      <c r="W256" s="7" t="s">
        <v>508</v>
      </c>
      <c r="X256" s="7" t="s">
        <v>511</v>
      </c>
      <c r="AA256" s="7">
        <v>0.05</v>
      </c>
      <c r="AB256" s="7">
        <v>0.18</v>
      </c>
      <c r="AC256" s="7">
        <v>0.013</v>
      </c>
      <c r="AD256" s="7">
        <v>0.004</v>
      </c>
      <c r="AE256" s="7">
        <v>0.02</v>
      </c>
      <c r="AF256" s="7">
        <v>0.11</v>
      </c>
      <c r="AG256" s="7">
        <v>0.03</v>
      </c>
      <c r="AH256" s="7">
        <v>0.05</v>
      </c>
      <c r="AI256" s="7">
        <v>0.01</v>
      </c>
      <c r="AJ256" s="7">
        <v>0.005</v>
      </c>
      <c r="AK256" s="7">
        <v>0.031</v>
      </c>
      <c r="AL256" s="7">
        <v>0.001</v>
      </c>
      <c r="AM256" s="7">
        <v>0.001</v>
      </c>
      <c r="AN256" s="7">
        <v>0.001</v>
      </c>
      <c r="AO256" s="7">
        <v>0.0001</v>
      </c>
      <c r="AP256" s="7">
        <v>0.0056</v>
      </c>
      <c r="AQ256" s="7">
        <v>0.0019</v>
      </c>
    </row>
    <row r="257" ht="30" customHeight="1">
      <c r="A257" s="6">
        <v>5650682.902</v>
      </c>
      <c r="C257" s="7" t="s">
        <v>51</v>
      </c>
      <c r="D257" s="7" t="s">
        <v>484</v>
      </c>
      <c r="E257" s="6">
        <v>0.03</v>
      </c>
      <c r="F257" s="7" t="s">
        <v>63</v>
      </c>
      <c r="G257" s="8">
        <v>59.44</v>
      </c>
      <c r="H257" s="9">
        <v>23400</v>
      </c>
      <c r="I257" s="10">
        <f t="shared" si="0"/>
        <v>11.7</v>
      </c>
      <c r="J257" s="10">
        <f t="shared" si="1"/>
        <v>234</v>
      </c>
      <c r="K257" s="7" t="s">
        <v>90</v>
      </c>
      <c r="S257" s="7">
        <v>60</v>
      </c>
      <c r="T257" s="7" t="s">
        <v>507</v>
      </c>
      <c r="U257" s="7" t="s">
        <v>493</v>
      </c>
      <c r="V257" s="7" t="s">
        <v>47</v>
      </c>
      <c r="W257" s="7" t="s">
        <v>508</v>
      </c>
      <c r="X257" s="7" t="s">
        <v>511</v>
      </c>
      <c r="AA257" s="7">
        <v>0.05</v>
      </c>
      <c r="AB257" s="7">
        <v>0.18</v>
      </c>
      <c r="AC257" s="7">
        <v>0.013</v>
      </c>
      <c r="AD257" s="7">
        <v>0.004</v>
      </c>
      <c r="AE257" s="7">
        <v>0.02</v>
      </c>
      <c r="AF257" s="7">
        <v>0.11</v>
      </c>
      <c r="AG257" s="7">
        <v>0.03</v>
      </c>
      <c r="AH257" s="7">
        <v>0.05</v>
      </c>
      <c r="AI257" s="7">
        <v>0.01</v>
      </c>
      <c r="AJ257" s="7">
        <v>0.005</v>
      </c>
      <c r="AK257" s="7">
        <v>0.031</v>
      </c>
      <c r="AL257" s="7">
        <v>0.001</v>
      </c>
      <c r="AM257" s="7">
        <v>0.001</v>
      </c>
      <c r="AN257" s="7">
        <v>0.001</v>
      </c>
      <c r="AO257" s="7">
        <v>0.0001</v>
      </c>
      <c r="AP257" s="7">
        <v>0.0056</v>
      </c>
      <c r="AQ257" s="7">
        <v>0.0019</v>
      </c>
    </row>
    <row r="258" ht="30" customHeight="1">
      <c r="A258" s="6">
        <v>5700726</v>
      </c>
      <c r="C258" s="7" t="s">
        <v>51</v>
      </c>
      <c r="D258" s="7" t="s">
        <v>484</v>
      </c>
      <c r="E258" s="6">
        <v>0.03</v>
      </c>
      <c r="F258" s="7" t="s">
        <v>63</v>
      </c>
      <c r="G258" s="8">
        <v>59.44</v>
      </c>
      <c r="H258" s="9">
        <v>42940</v>
      </c>
      <c r="I258" s="10">
        <f t="shared" si="0"/>
        <v>21.47</v>
      </c>
      <c r="J258" s="10">
        <f t="shared" si="1"/>
        <v>429.4</v>
      </c>
      <c r="K258" s="7" t="s">
        <v>90</v>
      </c>
      <c r="S258" s="7">
        <v>60</v>
      </c>
      <c r="T258" s="7" t="s">
        <v>507</v>
      </c>
      <c r="U258" s="7" t="s">
        <v>493</v>
      </c>
      <c r="V258" s="7" t="s">
        <v>47</v>
      </c>
      <c r="W258" s="7" t="s">
        <v>508</v>
      </c>
      <c r="X258" s="7" t="s">
        <v>511</v>
      </c>
      <c r="AA258" s="7">
        <v>0.04</v>
      </c>
      <c r="AB258" s="7">
        <v>0.19</v>
      </c>
      <c r="AC258" s="7">
        <v>0.01</v>
      </c>
      <c r="AD258" s="7">
        <v>0.005</v>
      </c>
      <c r="AE258" s="7">
        <v>0.025</v>
      </c>
      <c r="AF258" s="7">
        <v>0.13</v>
      </c>
      <c r="AG258" s="7">
        <v>0.03</v>
      </c>
      <c r="AH258" s="7">
        <v>0.06</v>
      </c>
      <c r="AI258" s="7">
        <v>0.01</v>
      </c>
      <c r="AJ258" s="7">
        <v>0.005</v>
      </c>
      <c r="AK258" s="7">
        <v>0.035</v>
      </c>
      <c r="AL258" s="7">
        <v>0.002</v>
      </c>
      <c r="AM258" s="7">
        <v>0.001</v>
      </c>
      <c r="AN258" s="7">
        <v>0.001</v>
      </c>
      <c r="AO258" s="7">
        <v>0.0001</v>
      </c>
      <c r="AP258" s="7">
        <v>0.0048</v>
      </c>
      <c r="AQ258" s="7">
        <v>0.0016</v>
      </c>
    </row>
    <row r="259" ht="30" customHeight="1">
      <c r="A259" s="6">
        <v>5668895</v>
      </c>
      <c r="C259" s="7" t="s">
        <v>43</v>
      </c>
      <c r="D259" s="7" t="s">
        <v>484</v>
      </c>
      <c r="E259" s="6">
        <v>0.035</v>
      </c>
      <c r="F259" s="7" t="s">
        <v>63</v>
      </c>
      <c r="G259" s="8">
        <v>42.25</v>
      </c>
      <c r="H259" s="9">
        <v>29680</v>
      </c>
      <c r="I259" s="10">
        <f t="shared" si="0"/>
        <v>14.84</v>
      </c>
      <c r="J259" s="10">
        <f t="shared" si="1"/>
        <v>296.8</v>
      </c>
      <c r="K259" s="7" t="s">
        <v>121</v>
      </c>
      <c r="P259" s="7">
        <v>63.4</v>
      </c>
      <c r="Q259" s="7">
        <v>93.6</v>
      </c>
      <c r="R259" s="7">
        <v>24.6</v>
      </c>
      <c r="T259" s="7" t="s">
        <v>512</v>
      </c>
      <c r="U259" s="7" t="s">
        <v>513</v>
      </c>
      <c r="V259" s="7" t="s">
        <v>355</v>
      </c>
      <c r="W259" s="7" t="s">
        <v>514</v>
      </c>
      <c r="X259" s="7" t="s">
        <v>305</v>
      </c>
      <c r="Y259" s="7" t="s">
        <v>365</v>
      </c>
      <c r="Z259" s="7" t="s">
        <v>515</v>
      </c>
      <c r="AA259" s="7">
        <v>0.07</v>
      </c>
      <c r="AB259" s="7">
        <v>1.56</v>
      </c>
      <c r="AC259" s="7">
        <v>0.012</v>
      </c>
      <c r="AD259" s="7">
        <v>0.001</v>
      </c>
      <c r="AE259" s="7">
        <v>0.248</v>
      </c>
      <c r="AF259" s="7">
        <v>0.11</v>
      </c>
      <c r="AG259" s="7">
        <v>0.04</v>
      </c>
      <c r="AH259" s="7">
        <v>0.58</v>
      </c>
      <c r="AI259" s="7">
        <v>0.01</v>
      </c>
      <c r="AJ259" s="7">
        <v>0.003</v>
      </c>
      <c r="AK259" s="7">
        <v>0.04</v>
      </c>
      <c r="AL259" s="7">
        <v>0.006</v>
      </c>
      <c r="AM259" s="7">
        <v>0.012</v>
      </c>
      <c r="AN259" s="7">
        <v>0.011</v>
      </c>
      <c r="AO259" s="7">
        <v>0.0003</v>
      </c>
      <c r="AP259" s="7">
        <v>0.0066</v>
      </c>
      <c r="AQ259" s="7">
        <v>0.0011</v>
      </c>
    </row>
    <row r="260" ht="30" customHeight="1">
      <c r="A260" s="6">
        <v>5516397</v>
      </c>
      <c r="C260" s="7" t="s">
        <v>51</v>
      </c>
      <c r="D260" s="7" t="s">
        <v>484</v>
      </c>
      <c r="E260" s="6">
        <v>0.035</v>
      </c>
      <c r="G260" s="8">
        <v>47.13</v>
      </c>
      <c r="H260" s="9">
        <v>41600</v>
      </c>
      <c r="I260" s="10">
        <f t="shared" si="0"/>
        <v>20.8</v>
      </c>
      <c r="J260" s="10">
        <f t="shared" si="1"/>
        <v>416</v>
      </c>
      <c r="K260" s="7" t="s">
        <v>90</v>
      </c>
      <c r="T260" s="7" t="s">
        <v>516</v>
      </c>
      <c r="U260" s="7" t="s">
        <v>513</v>
      </c>
      <c r="V260" s="7" t="s">
        <v>355</v>
      </c>
      <c r="W260" s="7" t="s">
        <v>517</v>
      </c>
      <c r="X260" s="7" t="s">
        <v>518</v>
      </c>
      <c r="Y260" s="7" t="s">
        <v>514</v>
      </c>
      <c r="Z260" s="7" t="s">
        <v>519</v>
      </c>
      <c r="AA260" s="7">
        <v>0.05</v>
      </c>
      <c r="AB260" s="7">
        <v>0.22</v>
      </c>
      <c r="AC260" s="7">
        <v>0.006</v>
      </c>
      <c r="AD260" s="7">
        <v>0.002</v>
      </c>
      <c r="AE260" s="7">
        <v>0.026</v>
      </c>
      <c r="AF260" s="7">
        <v>0.13</v>
      </c>
      <c r="AG260" s="7">
        <v>0.04</v>
      </c>
      <c r="AH260" s="7">
        <v>0.05</v>
      </c>
      <c r="AI260" s="7">
        <v>0.01</v>
      </c>
      <c r="AJ260" s="7">
        <v>0.004</v>
      </c>
      <c r="AK260" s="7">
        <v>0.024</v>
      </c>
      <c r="AL260" s="7">
        <v>0.001</v>
      </c>
      <c r="AM260" s="7">
        <v>0.001</v>
      </c>
      <c r="AN260" s="7">
        <v>0</v>
      </c>
      <c r="AO260" s="7">
        <v>0.0002</v>
      </c>
      <c r="AP260" s="7">
        <v>0.0069</v>
      </c>
      <c r="AQ260" s="7">
        <v>0.0019</v>
      </c>
    </row>
    <row r="261" ht="15" customHeight="1">
      <c r="A261" s="6">
        <v>5680183.902</v>
      </c>
      <c r="C261" s="7" t="s">
        <v>51</v>
      </c>
      <c r="D261" s="7" t="s">
        <v>484</v>
      </c>
      <c r="E261" s="6">
        <v>0.036</v>
      </c>
      <c r="F261" s="7" t="s">
        <v>63</v>
      </c>
      <c r="G261" s="8">
        <v>60.09</v>
      </c>
      <c r="H261" s="9">
        <v>13500</v>
      </c>
      <c r="I261" s="10">
        <f t="shared" si="0"/>
        <v>6.75</v>
      </c>
      <c r="J261" s="10">
        <f t="shared" si="1"/>
        <v>135</v>
      </c>
      <c r="K261" s="7" t="s">
        <v>90</v>
      </c>
      <c r="S261" s="7">
        <v>60</v>
      </c>
      <c r="T261" s="7" t="s">
        <v>490</v>
      </c>
      <c r="U261" s="7" t="s">
        <v>486</v>
      </c>
      <c r="V261" s="7" t="s">
        <v>47</v>
      </c>
      <c r="W261" s="7" t="s">
        <v>491</v>
      </c>
      <c r="X261" s="7" t="s">
        <v>422</v>
      </c>
      <c r="AA261" s="7">
        <v>0.04</v>
      </c>
      <c r="AB261" s="7">
        <v>0.19</v>
      </c>
      <c r="AC261" s="7">
        <v>0.011</v>
      </c>
      <c r="AD261" s="7">
        <v>0.002</v>
      </c>
      <c r="AE261" s="7">
        <v>0.019</v>
      </c>
      <c r="AF261" s="7">
        <v>0.11</v>
      </c>
      <c r="AG261" s="7">
        <v>0.03</v>
      </c>
      <c r="AH261" s="7">
        <v>0.06</v>
      </c>
      <c r="AI261" s="7">
        <v>0.01</v>
      </c>
      <c r="AJ261" s="7">
        <v>0.003</v>
      </c>
      <c r="AK261" s="7">
        <v>0.033</v>
      </c>
      <c r="AL261" s="7">
        <v>0.004</v>
      </c>
      <c r="AM261" s="7">
        <v>0.001</v>
      </c>
      <c r="AN261" s="7">
        <v>0.001</v>
      </c>
      <c r="AO261" s="7">
        <v>0</v>
      </c>
      <c r="AP261" s="7">
        <v>0.0052</v>
      </c>
      <c r="AQ261" s="7">
        <v>0.002</v>
      </c>
    </row>
    <row r="262" ht="30" customHeight="1">
      <c r="A262" s="6">
        <v>5680183.903</v>
      </c>
      <c r="C262" s="7" t="s">
        <v>51</v>
      </c>
      <c r="D262" s="7" t="s">
        <v>484</v>
      </c>
      <c r="E262" s="6">
        <v>0.036</v>
      </c>
      <c r="F262" s="7" t="s">
        <v>63</v>
      </c>
      <c r="G262" s="8">
        <v>60.09</v>
      </c>
      <c r="H262" s="9">
        <v>27740</v>
      </c>
      <c r="I262" s="10">
        <f t="shared" si="0"/>
        <v>13.87</v>
      </c>
      <c r="J262" s="10">
        <f t="shared" si="1"/>
        <v>277.4</v>
      </c>
      <c r="K262" s="7" t="s">
        <v>90</v>
      </c>
      <c r="S262" s="7">
        <v>60</v>
      </c>
      <c r="T262" s="7" t="s">
        <v>490</v>
      </c>
      <c r="U262" s="7" t="s">
        <v>486</v>
      </c>
      <c r="V262" s="7" t="s">
        <v>47</v>
      </c>
      <c r="W262" s="7" t="s">
        <v>491</v>
      </c>
      <c r="X262" s="7" t="s">
        <v>155</v>
      </c>
      <c r="Y262" s="7" t="s">
        <v>115</v>
      </c>
      <c r="AA262" s="7">
        <v>0.04</v>
      </c>
      <c r="AB262" s="7">
        <v>0.19</v>
      </c>
      <c r="AC262" s="7">
        <v>0.011</v>
      </c>
      <c r="AD262" s="7">
        <v>0.002</v>
      </c>
      <c r="AE262" s="7">
        <v>0.019</v>
      </c>
      <c r="AF262" s="7">
        <v>0.11</v>
      </c>
      <c r="AG262" s="7">
        <v>0.03</v>
      </c>
      <c r="AH262" s="7">
        <v>0.06</v>
      </c>
      <c r="AI262" s="7">
        <v>0.01</v>
      </c>
      <c r="AJ262" s="7">
        <v>0.003</v>
      </c>
      <c r="AK262" s="7">
        <v>0.033</v>
      </c>
      <c r="AL262" s="7">
        <v>0.004</v>
      </c>
      <c r="AM262" s="7">
        <v>0.001</v>
      </c>
      <c r="AN262" s="7">
        <v>0.001</v>
      </c>
      <c r="AO262" s="7">
        <v>0</v>
      </c>
      <c r="AP262" s="7">
        <v>0.0052</v>
      </c>
      <c r="AQ262" s="7">
        <v>0.002</v>
      </c>
    </row>
    <row r="263" ht="30" customHeight="1">
      <c r="A263" s="6">
        <v>5668562.901</v>
      </c>
      <c r="C263" s="7" t="s">
        <v>51</v>
      </c>
      <c r="D263" s="7" t="s">
        <v>484</v>
      </c>
      <c r="E263" s="6">
        <v>0.039</v>
      </c>
      <c r="F263" s="7" t="s">
        <v>63</v>
      </c>
      <c r="G263" s="8">
        <v>55</v>
      </c>
      <c r="H263" s="9">
        <v>11260</v>
      </c>
      <c r="I263" s="10">
        <f t="shared" si="0"/>
        <v>5.63</v>
      </c>
      <c r="J263" s="10">
        <f t="shared" si="1"/>
        <v>112.6</v>
      </c>
      <c r="K263" s="7" t="s">
        <v>57</v>
      </c>
      <c r="P263" s="7">
        <v>69</v>
      </c>
      <c r="Q263" s="7">
        <v>107.1</v>
      </c>
      <c r="R263" s="7">
        <v>23.4</v>
      </c>
      <c r="S263" s="7">
        <v>89</v>
      </c>
      <c r="T263" s="7" t="s">
        <v>520</v>
      </c>
      <c r="U263" s="7" t="s">
        <v>498</v>
      </c>
      <c r="V263" s="7" t="s">
        <v>355</v>
      </c>
      <c r="W263" s="7" t="s">
        <v>504</v>
      </c>
      <c r="X263" s="7" t="s">
        <v>521</v>
      </c>
      <c r="Y263" s="7" t="s">
        <v>506</v>
      </c>
      <c r="AA263" s="7">
        <v>0.07</v>
      </c>
      <c r="AB263" s="7">
        <v>1.52</v>
      </c>
      <c r="AC263" s="7">
        <v>0.011</v>
      </c>
      <c r="AD263" s="7">
        <v>0.002</v>
      </c>
      <c r="AE263" s="7">
        <v>0.268</v>
      </c>
      <c r="AF263" s="7">
        <v>0.11</v>
      </c>
      <c r="AG263" s="7">
        <v>0.03</v>
      </c>
      <c r="AH263" s="7">
        <v>0.6</v>
      </c>
      <c r="AI263" s="7">
        <v>0.01</v>
      </c>
      <c r="AJ263" s="7">
        <v>0.003</v>
      </c>
      <c r="AK263" s="7">
        <v>0.046</v>
      </c>
      <c r="AL263" s="7">
        <v>0.008</v>
      </c>
      <c r="AM263" s="7">
        <v>0.033</v>
      </c>
      <c r="AN263" s="7">
        <v>0.014</v>
      </c>
      <c r="AO263" s="7">
        <v>0.0001</v>
      </c>
      <c r="AP263" s="7">
        <v>0.0061</v>
      </c>
      <c r="AQ263" s="7">
        <v>0.0018</v>
      </c>
    </row>
    <row r="264" ht="45" customHeight="1">
      <c r="A264" s="6">
        <v>5668599.901</v>
      </c>
      <c r="C264" s="7" t="s">
        <v>51</v>
      </c>
      <c r="D264" s="7" t="s">
        <v>484</v>
      </c>
      <c r="E264" s="6">
        <v>0.04</v>
      </c>
      <c r="F264" s="7" t="s">
        <v>63</v>
      </c>
      <c r="G264" s="8">
        <v>59.06</v>
      </c>
      <c r="H264" s="9">
        <v>20900</v>
      </c>
      <c r="I264" s="10">
        <f t="shared" si="0"/>
        <v>10.45</v>
      </c>
      <c r="J264" s="10">
        <f t="shared" si="1"/>
        <v>209</v>
      </c>
      <c r="K264" s="7" t="s">
        <v>57</v>
      </c>
      <c r="P264" s="7">
        <v>73.5</v>
      </c>
      <c r="Q264" s="7">
        <v>115.8</v>
      </c>
      <c r="R264" s="7">
        <v>22.5</v>
      </c>
      <c r="S264" s="7">
        <v>91</v>
      </c>
      <c r="T264" s="7" t="s">
        <v>522</v>
      </c>
      <c r="U264" s="7" t="s">
        <v>498</v>
      </c>
      <c r="V264" s="7" t="s">
        <v>355</v>
      </c>
      <c r="W264" s="7" t="s">
        <v>523</v>
      </c>
      <c r="Z264" s="7" t="s">
        <v>524</v>
      </c>
      <c r="AA264" s="7">
        <v>0.07</v>
      </c>
      <c r="AB264" s="7">
        <v>1.71</v>
      </c>
      <c r="AC264" s="7">
        <v>0.022</v>
      </c>
      <c r="AD264" s="7">
        <v>0.001</v>
      </c>
      <c r="AE264" s="7">
        <v>0.319</v>
      </c>
      <c r="AF264" s="7">
        <v>0.11</v>
      </c>
      <c r="AG264" s="7">
        <v>0.03</v>
      </c>
      <c r="AH264" s="7">
        <v>0.62</v>
      </c>
      <c r="AI264" s="7">
        <v>0.01</v>
      </c>
      <c r="AJ264" s="7">
        <v>0.003</v>
      </c>
      <c r="AK264" s="7">
        <v>0.032</v>
      </c>
      <c r="AL264" s="7">
        <v>0.012</v>
      </c>
      <c r="AM264" s="7">
        <v>0.04</v>
      </c>
      <c r="AN264" s="7">
        <v>0.009</v>
      </c>
      <c r="AO264" s="7">
        <v>0.0005</v>
      </c>
      <c r="AP264" s="7">
        <v>0.0047</v>
      </c>
      <c r="AQ264" s="7">
        <v>0.0014</v>
      </c>
    </row>
    <row r="265" ht="30" customHeight="1">
      <c r="A265" s="6">
        <v>5656459</v>
      </c>
      <c r="C265" s="7" t="s">
        <v>43</v>
      </c>
      <c r="D265" s="7" t="s">
        <v>484</v>
      </c>
      <c r="E265" s="6">
        <v>0.046</v>
      </c>
      <c r="F265" s="7" t="s">
        <v>63</v>
      </c>
      <c r="G265" s="8">
        <v>36.19</v>
      </c>
      <c r="H265" s="9">
        <v>29960</v>
      </c>
      <c r="I265" s="10">
        <f t="shared" si="0"/>
        <v>14.98</v>
      </c>
      <c r="J265" s="10">
        <f t="shared" si="1"/>
        <v>299.6</v>
      </c>
      <c r="K265" s="7" t="s">
        <v>121</v>
      </c>
      <c r="P265" s="7">
        <v>65.9</v>
      </c>
      <c r="Q265" s="7">
        <v>87.7</v>
      </c>
      <c r="R265" s="7">
        <v>23.9</v>
      </c>
      <c r="T265" s="7" t="s">
        <v>512</v>
      </c>
      <c r="U265" s="7" t="s">
        <v>513</v>
      </c>
      <c r="V265" s="7" t="s">
        <v>355</v>
      </c>
      <c r="W265" s="7" t="s">
        <v>525</v>
      </c>
      <c r="X265" s="7" t="s">
        <v>91</v>
      </c>
      <c r="Y265" s="7" t="s">
        <v>115</v>
      </c>
      <c r="AA265" s="7">
        <v>0.07</v>
      </c>
      <c r="AB265" s="7">
        <v>1.56</v>
      </c>
      <c r="AC265" s="7">
        <v>0.01</v>
      </c>
      <c r="AD265" s="7">
        <v>0.001</v>
      </c>
      <c r="AE265" s="7">
        <v>0.243</v>
      </c>
      <c r="AF265" s="7">
        <v>0.12</v>
      </c>
      <c r="AG265" s="7">
        <v>0.04</v>
      </c>
      <c r="AH265" s="7">
        <v>0.6</v>
      </c>
      <c r="AI265" s="7">
        <v>0.02</v>
      </c>
      <c r="AJ265" s="7">
        <v>0.003</v>
      </c>
      <c r="AK265" s="7">
        <v>0.04</v>
      </c>
      <c r="AL265" s="7">
        <v>0.007</v>
      </c>
      <c r="AM265" s="7">
        <v>0.012</v>
      </c>
      <c r="AN265" s="7">
        <v>0.012</v>
      </c>
      <c r="AO265" s="7">
        <v>0.0004</v>
      </c>
      <c r="AP265" s="7">
        <v>0.0058</v>
      </c>
      <c r="AQ265" s="7">
        <v>0.0015</v>
      </c>
    </row>
    <row r="266" ht="15" customHeight="1">
      <c r="A266" s="6">
        <v>5611553</v>
      </c>
      <c r="C266" s="7" t="s">
        <v>51</v>
      </c>
      <c r="D266" s="7" t="s">
        <v>484</v>
      </c>
      <c r="E266" s="6">
        <v>0.046</v>
      </c>
      <c r="F266" s="7" t="s">
        <v>45</v>
      </c>
      <c r="G266" s="8">
        <v>42.56</v>
      </c>
      <c r="H266" s="9">
        <v>42380</v>
      </c>
      <c r="I266" s="10">
        <f t="shared" si="0"/>
        <v>21.19</v>
      </c>
      <c r="J266" s="10">
        <f t="shared" si="1"/>
        <v>423.8</v>
      </c>
      <c r="K266" s="7" t="s">
        <v>68</v>
      </c>
      <c r="S266" s="7">
        <v>58</v>
      </c>
      <c r="T266" s="7" t="s">
        <v>520</v>
      </c>
      <c r="U266" s="7" t="s">
        <v>486</v>
      </c>
      <c r="V266" s="7" t="s">
        <v>47</v>
      </c>
      <c r="W266" s="7" t="s">
        <v>526</v>
      </c>
      <c r="Z266" s="7" t="s">
        <v>527</v>
      </c>
      <c r="AA266" s="7">
        <v>0.02</v>
      </c>
      <c r="AB266" s="7">
        <v>0.17</v>
      </c>
      <c r="AC266" s="7">
        <v>0.01</v>
      </c>
      <c r="AD266" s="7">
        <v>0.002</v>
      </c>
      <c r="AE266" s="7">
        <v>0.027</v>
      </c>
      <c r="AF266" s="7">
        <v>0.08</v>
      </c>
      <c r="AG266" s="7">
        <v>0.03</v>
      </c>
      <c r="AH266" s="7">
        <v>0.05</v>
      </c>
      <c r="AI266" s="7">
        <v>0.02</v>
      </c>
      <c r="AJ266" s="7">
        <v>0.003</v>
      </c>
      <c r="AK266" s="7">
        <v>0.039</v>
      </c>
      <c r="AL266" s="7">
        <v>0.002</v>
      </c>
      <c r="AM266" s="7">
        <v>0.001</v>
      </c>
      <c r="AN266" s="7">
        <v>0.001</v>
      </c>
      <c r="AO266" s="7">
        <v>0.0004</v>
      </c>
      <c r="AP266" s="7">
        <v>0.0055</v>
      </c>
      <c r="AQ266" s="7">
        <v>0.0027</v>
      </c>
    </row>
    <row r="267" ht="30" customHeight="1">
      <c r="A267" s="6">
        <v>5702242.902</v>
      </c>
      <c r="C267" s="7" t="s">
        <v>51</v>
      </c>
      <c r="D267" s="7" t="s">
        <v>484</v>
      </c>
      <c r="E267" s="6">
        <v>0.055</v>
      </c>
      <c r="F267" s="7" t="s">
        <v>63</v>
      </c>
      <c r="G267" s="8">
        <v>41.09</v>
      </c>
      <c r="H267" s="9">
        <v>18660</v>
      </c>
      <c r="I267" s="10">
        <f t="shared" si="0"/>
        <v>9.33</v>
      </c>
      <c r="J267" s="10">
        <f t="shared" si="1"/>
        <v>186.6</v>
      </c>
      <c r="K267" s="7" t="s">
        <v>90</v>
      </c>
      <c r="S267" s="7">
        <v>65</v>
      </c>
      <c r="T267" s="7" t="s">
        <v>490</v>
      </c>
      <c r="U267" s="7" t="s">
        <v>498</v>
      </c>
      <c r="V267" s="7" t="s">
        <v>355</v>
      </c>
      <c r="W267" s="7" t="s">
        <v>528</v>
      </c>
      <c r="X267" s="7" t="s">
        <v>529</v>
      </c>
      <c r="Y267" s="7" t="s">
        <v>530</v>
      </c>
      <c r="Z267" s="7" t="s">
        <v>531</v>
      </c>
      <c r="AA267" s="7">
        <v>0.04</v>
      </c>
      <c r="AB267" s="7">
        <v>0.18</v>
      </c>
      <c r="AC267" s="7">
        <v>0.013</v>
      </c>
      <c r="AD267" s="7">
        <v>0.003</v>
      </c>
      <c r="AE267" s="7">
        <v>0.02</v>
      </c>
      <c r="AF267" s="7">
        <v>0.11</v>
      </c>
      <c r="AG267" s="7">
        <v>0.03</v>
      </c>
      <c r="AH267" s="7">
        <v>0.06</v>
      </c>
      <c r="AI267" s="7">
        <v>0.01</v>
      </c>
      <c r="AJ267" s="7">
        <v>0.005</v>
      </c>
      <c r="AK267" s="7">
        <v>0.034</v>
      </c>
      <c r="AL267" s="7">
        <v>0.001</v>
      </c>
      <c r="AM267" s="7">
        <v>0.001</v>
      </c>
      <c r="AN267" s="7">
        <v>0.002</v>
      </c>
      <c r="AO267" s="7">
        <v>0.0001</v>
      </c>
      <c r="AP267" s="7">
        <v>0.0057</v>
      </c>
      <c r="AQ267" s="7">
        <v>0.002</v>
      </c>
    </row>
    <row r="268" ht="30" customHeight="1">
      <c r="A268" s="6">
        <v>5702242.901</v>
      </c>
      <c r="C268" s="7" t="s">
        <v>51</v>
      </c>
      <c r="D268" s="7" t="s">
        <v>484</v>
      </c>
      <c r="E268" s="6">
        <v>0.055</v>
      </c>
      <c r="F268" s="7" t="s">
        <v>63</v>
      </c>
      <c r="G268" s="8">
        <v>41.09</v>
      </c>
      <c r="H268" s="9">
        <v>19280</v>
      </c>
      <c r="I268" s="10">
        <f t="shared" si="0"/>
        <v>9.64</v>
      </c>
      <c r="J268" s="10">
        <f t="shared" si="1"/>
        <v>192.8</v>
      </c>
      <c r="K268" s="7" t="s">
        <v>90</v>
      </c>
      <c r="S268" s="7">
        <v>65</v>
      </c>
      <c r="T268" s="7" t="s">
        <v>490</v>
      </c>
      <c r="U268" s="7" t="s">
        <v>498</v>
      </c>
      <c r="V268" s="7" t="s">
        <v>355</v>
      </c>
      <c r="W268" s="7" t="s">
        <v>528</v>
      </c>
      <c r="X268" s="7" t="s">
        <v>532</v>
      </c>
      <c r="Z268" s="7" t="s">
        <v>533</v>
      </c>
      <c r="AA268" s="7">
        <v>0.04</v>
      </c>
      <c r="AB268" s="7">
        <v>0.18</v>
      </c>
      <c r="AC268" s="7">
        <v>0.013</v>
      </c>
      <c r="AD268" s="7">
        <v>0.003</v>
      </c>
      <c r="AE268" s="7">
        <v>0.02</v>
      </c>
      <c r="AF268" s="7">
        <v>0.11</v>
      </c>
      <c r="AG268" s="7">
        <v>0.03</v>
      </c>
      <c r="AH268" s="7">
        <v>0.06</v>
      </c>
      <c r="AI268" s="7">
        <v>0.01</v>
      </c>
      <c r="AJ268" s="7">
        <v>0.005</v>
      </c>
      <c r="AK268" s="7">
        <v>0.034</v>
      </c>
      <c r="AL268" s="7">
        <v>0.001</v>
      </c>
      <c r="AM268" s="7">
        <v>0.001</v>
      </c>
      <c r="AN268" s="7">
        <v>0.002</v>
      </c>
      <c r="AO268" s="7">
        <v>0.0001</v>
      </c>
      <c r="AP268" s="7">
        <v>0.0057</v>
      </c>
      <c r="AQ268" s="7">
        <v>0.002</v>
      </c>
    </row>
    <row r="269" ht="30" customHeight="1">
      <c r="A269" s="6">
        <v>5677335</v>
      </c>
      <c r="C269" s="7" t="s">
        <v>51</v>
      </c>
      <c r="D269" s="7" t="s">
        <v>484</v>
      </c>
      <c r="E269" s="6">
        <v>0.055</v>
      </c>
      <c r="F269" s="7" t="s">
        <v>63</v>
      </c>
      <c r="G269" s="8">
        <v>57.63</v>
      </c>
      <c r="H269" s="9">
        <v>41100</v>
      </c>
      <c r="I269" s="10">
        <f t="shared" si="0"/>
        <v>20.55</v>
      </c>
      <c r="J269" s="10">
        <f t="shared" si="1"/>
        <v>411</v>
      </c>
      <c r="K269" s="7" t="s">
        <v>178</v>
      </c>
      <c r="S269" s="7">
        <v>61</v>
      </c>
      <c r="T269" s="7" t="s">
        <v>490</v>
      </c>
      <c r="U269" s="7" t="s">
        <v>498</v>
      </c>
      <c r="V269" s="7" t="s">
        <v>355</v>
      </c>
      <c r="W269" s="7" t="s">
        <v>534</v>
      </c>
      <c r="Z269" s="7" t="s">
        <v>535</v>
      </c>
      <c r="AA269" s="7">
        <v>0.03</v>
      </c>
      <c r="AB269" s="7">
        <v>0.21</v>
      </c>
      <c r="AC269" s="7">
        <v>0.011</v>
      </c>
      <c r="AD269" s="7">
        <v>0.005</v>
      </c>
      <c r="AE269" s="7">
        <v>0.022</v>
      </c>
      <c r="AF269" s="7">
        <v>0.11</v>
      </c>
      <c r="AG269" s="7">
        <v>0.02</v>
      </c>
      <c r="AH269" s="7">
        <v>0.05</v>
      </c>
      <c r="AI269" s="7">
        <v>0.01</v>
      </c>
      <c r="AJ269" s="7">
        <v>0.003</v>
      </c>
      <c r="AK269" s="7">
        <v>0.038</v>
      </c>
      <c r="AL269" s="7">
        <v>0.002</v>
      </c>
      <c r="AM269" s="7">
        <v>0.001</v>
      </c>
      <c r="AN269" s="7">
        <v>0.017</v>
      </c>
      <c r="AO269" s="7">
        <v>0.0005</v>
      </c>
      <c r="AP269" s="7">
        <v>0.0059</v>
      </c>
      <c r="AQ269" s="7">
        <v>0.0023</v>
      </c>
    </row>
    <row r="270" ht="30" customHeight="1">
      <c r="A270" s="6">
        <v>5672462.902</v>
      </c>
      <c r="C270" s="7" t="s">
        <v>51</v>
      </c>
      <c r="D270" s="7" t="s">
        <v>484</v>
      </c>
      <c r="E270" s="6">
        <v>0.059</v>
      </c>
      <c r="F270" s="7" t="s">
        <v>63</v>
      </c>
      <c r="G270" s="8">
        <v>60.19</v>
      </c>
      <c r="H270" s="9">
        <v>22220</v>
      </c>
      <c r="I270" s="10">
        <f t="shared" si="0"/>
        <v>11.11</v>
      </c>
      <c r="J270" s="10">
        <f t="shared" si="1"/>
        <v>222.2</v>
      </c>
      <c r="K270" s="7" t="s">
        <v>90</v>
      </c>
      <c r="S270" s="7">
        <v>66</v>
      </c>
      <c r="T270" s="7" t="s">
        <v>490</v>
      </c>
      <c r="U270" s="7" t="s">
        <v>493</v>
      </c>
      <c r="V270" s="7" t="s">
        <v>47</v>
      </c>
      <c r="W270" s="7" t="s">
        <v>536</v>
      </c>
      <c r="X270" s="7" t="s">
        <v>537</v>
      </c>
      <c r="AA270" s="7">
        <v>0.04</v>
      </c>
      <c r="AB270" s="7">
        <v>0.2</v>
      </c>
      <c r="AC270" s="7">
        <v>0.013</v>
      </c>
      <c r="AD270" s="7">
        <v>0.002</v>
      </c>
      <c r="AE270" s="7">
        <v>0.025</v>
      </c>
      <c r="AF270" s="7">
        <v>0.14</v>
      </c>
      <c r="AG270" s="7">
        <v>0.03</v>
      </c>
      <c r="AH270" s="7">
        <v>0.08</v>
      </c>
      <c r="AI270" s="7">
        <v>0.01</v>
      </c>
      <c r="AJ270" s="7">
        <v>0.007</v>
      </c>
      <c r="AK270" s="7">
        <v>0.035</v>
      </c>
      <c r="AL270" s="7">
        <v>0.001</v>
      </c>
      <c r="AM270" s="7">
        <v>0.001</v>
      </c>
      <c r="AN270" s="7">
        <v>0.001</v>
      </c>
      <c r="AO270" s="7">
        <v>0.0001</v>
      </c>
      <c r="AP270" s="7">
        <v>0.0046</v>
      </c>
      <c r="AQ270" s="7">
        <v>0.002</v>
      </c>
    </row>
    <row r="271" ht="30" customHeight="1">
      <c r="A271" s="6">
        <v>5672462.901</v>
      </c>
      <c r="C271" s="7" t="s">
        <v>51</v>
      </c>
      <c r="D271" s="7" t="s">
        <v>484</v>
      </c>
      <c r="E271" s="6">
        <v>0.059</v>
      </c>
      <c r="F271" s="7" t="s">
        <v>63</v>
      </c>
      <c r="G271" s="8">
        <v>60.19</v>
      </c>
      <c r="H271" s="9">
        <v>23160</v>
      </c>
      <c r="I271" s="10">
        <f t="shared" si="0"/>
        <v>11.58</v>
      </c>
      <c r="J271" s="10">
        <f t="shared" si="1"/>
        <v>231.6</v>
      </c>
      <c r="K271" s="7" t="s">
        <v>90</v>
      </c>
      <c r="S271" s="7">
        <v>66</v>
      </c>
      <c r="T271" s="7" t="s">
        <v>490</v>
      </c>
      <c r="U271" s="7" t="s">
        <v>493</v>
      </c>
      <c r="V271" s="7" t="s">
        <v>47</v>
      </c>
      <c r="W271" s="7" t="s">
        <v>536</v>
      </c>
      <c r="X271" s="7" t="s">
        <v>537</v>
      </c>
      <c r="AA271" s="7">
        <v>0.04</v>
      </c>
      <c r="AB271" s="7">
        <v>0.2</v>
      </c>
      <c r="AC271" s="7">
        <v>0.013</v>
      </c>
      <c r="AD271" s="7">
        <v>0.002</v>
      </c>
      <c r="AE271" s="7">
        <v>0.025</v>
      </c>
      <c r="AF271" s="7">
        <v>0.14</v>
      </c>
      <c r="AG271" s="7">
        <v>0.03</v>
      </c>
      <c r="AH271" s="7">
        <v>0.08</v>
      </c>
      <c r="AI271" s="7">
        <v>0.01</v>
      </c>
      <c r="AJ271" s="7">
        <v>0.007</v>
      </c>
      <c r="AK271" s="7">
        <v>0.035</v>
      </c>
      <c r="AL271" s="7">
        <v>0.001</v>
      </c>
      <c r="AM271" s="7">
        <v>0.001</v>
      </c>
      <c r="AN271" s="7">
        <v>0.001</v>
      </c>
      <c r="AO271" s="7">
        <v>0.0001</v>
      </c>
      <c r="AP271" s="7">
        <v>0.0046</v>
      </c>
      <c r="AQ271" s="7">
        <v>0.002</v>
      </c>
    </row>
    <row r="272" ht="30" customHeight="1">
      <c r="A272" s="6">
        <v>5668862</v>
      </c>
      <c r="C272" s="7" t="s">
        <v>43</v>
      </c>
      <c r="D272" s="7" t="s">
        <v>484</v>
      </c>
      <c r="E272" s="6">
        <v>0.061</v>
      </c>
      <c r="F272" s="7" t="s">
        <v>63</v>
      </c>
      <c r="G272" s="8">
        <v>50.13</v>
      </c>
      <c r="H272" s="9">
        <v>36700</v>
      </c>
      <c r="I272" s="10">
        <f t="shared" si="0"/>
        <v>18.35</v>
      </c>
      <c r="J272" s="10">
        <f t="shared" si="1"/>
        <v>367</v>
      </c>
      <c r="K272" s="7" t="s">
        <v>121</v>
      </c>
      <c r="P272" s="7">
        <v>63.5</v>
      </c>
      <c r="Q272" s="7">
        <v>95.5</v>
      </c>
      <c r="R272" s="7">
        <v>24.2</v>
      </c>
      <c r="T272" s="7" t="s">
        <v>512</v>
      </c>
      <c r="U272" s="7" t="s">
        <v>513</v>
      </c>
      <c r="V272" s="7" t="s">
        <v>355</v>
      </c>
      <c r="W272" s="7" t="s">
        <v>538</v>
      </c>
      <c r="X272" s="7" t="s">
        <v>305</v>
      </c>
      <c r="Y272" s="7" t="s">
        <v>365</v>
      </c>
      <c r="AA272" s="7">
        <v>0.07</v>
      </c>
      <c r="AB272" s="7">
        <v>1.54</v>
      </c>
      <c r="AC272" s="7">
        <v>0.011</v>
      </c>
      <c r="AD272" s="7">
        <v>0.002</v>
      </c>
      <c r="AE272" s="7">
        <v>0.251</v>
      </c>
      <c r="AF272" s="7">
        <v>0.11</v>
      </c>
      <c r="AG272" s="7">
        <v>0.04</v>
      </c>
      <c r="AH272" s="7">
        <v>0.56</v>
      </c>
      <c r="AI272" s="7">
        <v>0.01</v>
      </c>
      <c r="AJ272" s="7">
        <v>0.003</v>
      </c>
      <c r="AK272" s="7">
        <v>0.035</v>
      </c>
      <c r="AL272" s="7">
        <v>0.006</v>
      </c>
      <c r="AM272" s="7">
        <v>0.012</v>
      </c>
      <c r="AN272" s="7">
        <v>0.01</v>
      </c>
      <c r="AO272" s="7">
        <v>0.0002</v>
      </c>
      <c r="AP272" s="7">
        <v>0.0068</v>
      </c>
      <c r="AQ272" s="7">
        <v>0.0031</v>
      </c>
    </row>
    <row r="273" ht="30" customHeight="1">
      <c r="A273" s="6">
        <v>5668767</v>
      </c>
      <c r="C273" s="7" t="s">
        <v>43</v>
      </c>
      <c r="D273" s="7" t="s">
        <v>484</v>
      </c>
      <c r="E273" s="6">
        <v>0.062</v>
      </c>
      <c r="F273" s="7" t="s">
        <v>63</v>
      </c>
      <c r="G273" s="8">
        <v>36.13</v>
      </c>
      <c r="H273" s="9">
        <v>34020</v>
      </c>
      <c r="I273" s="10">
        <f t="shared" si="0"/>
        <v>17.01</v>
      </c>
      <c r="J273" s="10">
        <f t="shared" si="1"/>
        <v>340.2</v>
      </c>
      <c r="K273" s="7" t="s">
        <v>121</v>
      </c>
      <c r="P273" s="7">
        <v>60.4</v>
      </c>
      <c r="Q273" s="7">
        <v>98.4</v>
      </c>
      <c r="R273" s="7">
        <v>23.6</v>
      </c>
      <c r="S273" s="7">
        <v>88</v>
      </c>
      <c r="T273" s="7" t="s">
        <v>539</v>
      </c>
      <c r="U273" s="7" t="s">
        <v>498</v>
      </c>
      <c r="V273" s="7" t="s">
        <v>355</v>
      </c>
      <c r="W273" s="7" t="s">
        <v>540</v>
      </c>
      <c r="X273" s="7" t="s">
        <v>541</v>
      </c>
      <c r="Y273" s="7" t="s">
        <v>253</v>
      </c>
      <c r="AA273" s="7">
        <v>0.07</v>
      </c>
      <c r="AB273" s="7">
        <v>1.55</v>
      </c>
      <c r="AC273" s="7">
        <v>0.015</v>
      </c>
      <c r="AD273" s="7">
        <v>0.001</v>
      </c>
      <c r="AE273" s="7">
        <v>0.258</v>
      </c>
      <c r="AF273" s="7">
        <v>0.12</v>
      </c>
      <c r="AG273" s="7">
        <v>0.03</v>
      </c>
      <c r="AH273" s="7">
        <v>0.61</v>
      </c>
      <c r="AI273" s="7">
        <v>0.01</v>
      </c>
      <c r="AJ273" s="7">
        <v>0.004</v>
      </c>
      <c r="AK273" s="7">
        <v>0.039</v>
      </c>
      <c r="AL273" s="7">
        <v>0.006</v>
      </c>
      <c r="AM273" s="7">
        <v>0.011</v>
      </c>
      <c r="AN273" s="7">
        <v>0.012</v>
      </c>
      <c r="AO273" s="7">
        <v>0.0002</v>
      </c>
      <c r="AP273" s="7">
        <v>0.0066</v>
      </c>
      <c r="AQ273" s="7">
        <v>0.0015</v>
      </c>
    </row>
    <row r="274" ht="30" customHeight="1">
      <c r="A274" s="6">
        <v>5617005</v>
      </c>
      <c r="C274" s="7" t="s">
        <v>43</v>
      </c>
      <c r="D274" s="7" t="s">
        <v>484</v>
      </c>
      <c r="E274" s="6">
        <v>0.062</v>
      </c>
      <c r="F274" s="7" t="s">
        <v>63</v>
      </c>
      <c r="G274" s="8">
        <v>50</v>
      </c>
      <c r="H274" s="9">
        <v>39300</v>
      </c>
      <c r="I274" s="10">
        <f t="shared" si="0"/>
        <v>19.65</v>
      </c>
      <c r="J274" s="10">
        <f t="shared" si="1"/>
        <v>393</v>
      </c>
      <c r="K274" s="7" t="s">
        <v>121</v>
      </c>
      <c r="L274" s="7">
        <v>49.6</v>
      </c>
      <c r="M274" s="7">
        <v>83.1</v>
      </c>
      <c r="N274" s="7">
        <v>28.2</v>
      </c>
      <c r="P274" s="7">
        <v>52.3</v>
      </c>
      <c r="Q274" s="7">
        <v>83.3</v>
      </c>
      <c r="R274" s="7">
        <v>25.8</v>
      </c>
      <c r="T274" s="7" t="s">
        <v>542</v>
      </c>
      <c r="U274" s="7" t="s">
        <v>498</v>
      </c>
      <c r="V274" s="7" t="s">
        <v>355</v>
      </c>
      <c r="W274" s="7" t="s">
        <v>543</v>
      </c>
      <c r="X274" s="7" t="s">
        <v>115</v>
      </c>
      <c r="AA274" s="7">
        <v>0.07</v>
      </c>
      <c r="AB274" s="7">
        <v>1.55</v>
      </c>
      <c r="AC274" s="7">
        <v>0.01</v>
      </c>
      <c r="AD274" s="7">
        <v>0.001</v>
      </c>
      <c r="AE274" s="7">
        <v>0.23</v>
      </c>
      <c r="AF274" s="7">
        <v>0.11</v>
      </c>
      <c r="AG274" s="7">
        <v>0.04</v>
      </c>
      <c r="AH274" s="7">
        <v>0.57</v>
      </c>
      <c r="AI274" s="7">
        <v>0.01</v>
      </c>
      <c r="AJ274" s="7">
        <v>0.004</v>
      </c>
      <c r="AK274" s="7">
        <v>0.037</v>
      </c>
      <c r="AL274" s="7">
        <v>0.006</v>
      </c>
      <c r="AM274" s="7">
        <v>0.012</v>
      </c>
      <c r="AN274" s="7">
        <v>0.012</v>
      </c>
      <c r="AO274" s="7">
        <v>0.0001</v>
      </c>
      <c r="AP274" s="7">
        <v>0.0069</v>
      </c>
      <c r="AQ274" s="7">
        <v>0.0012</v>
      </c>
    </row>
    <row r="275" ht="30" customHeight="1">
      <c r="A275" s="6">
        <v>5586626</v>
      </c>
      <c r="C275" s="7" t="s">
        <v>51</v>
      </c>
      <c r="D275" s="7" t="s">
        <v>484</v>
      </c>
      <c r="E275" s="6">
        <v>0.062</v>
      </c>
      <c r="F275" s="7" t="s">
        <v>63</v>
      </c>
      <c r="G275" s="8">
        <v>50.06</v>
      </c>
      <c r="H275" s="9">
        <v>44740</v>
      </c>
      <c r="I275" s="10">
        <f t="shared" si="0"/>
        <v>22.37</v>
      </c>
      <c r="J275" s="10">
        <f t="shared" si="1"/>
        <v>447.4</v>
      </c>
      <c r="K275" s="7" t="s">
        <v>121</v>
      </c>
      <c r="P275" s="7">
        <v>52.3</v>
      </c>
      <c r="Q275" s="7">
        <v>84.2</v>
      </c>
      <c r="R275" s="7">
        <v>27.8</v>
      </c>
      <c r="T275" s="7" t="s">
        <v>544</v>
      </c>
      <c r="U275" s="7" t="s">
        <v>545</v>
      </c>
      <c r="V275" s="7" t="s">
        <v>355</v>
      </c>
      <c r="W275" s="7" t="s">
        <v>546</v>
      </c>
      <c r="AA275" s="7">
        <v>0.07</v>
      </c>
      <c r="AB275" s="7">
        <v>1.61</v>
      </c>
      <c r="AC275" s="7">
        <v>0.011</v>
      </c>
      <c r="AD275" s="7">
        <v>0</v>
      </c>
      <c r="AE275" s="7">
        <v>0.264</v>
      </c>
      <c r="AF275" s="7">
        <v>0.1</v>
      </c>
      <c r="AG275" s="7">
        <v>0.04</v>
      </c>
      <c r="AH275" s="7">
        <v>0.58</v>
      </c>
      <c r="AI275" s="7">
        <v>0.02</v>
      </c>
      <c r="AJ275" s="7">
        <v>0.004</v>
      </c>
      <c r="AK275" s="7">
        <v>0.039</v>
      </c>
      <c r="AL275" s="7">
        <v>0.006</v>
      </c>
      <c r="AM275" s="7">
        <v>0.011</v>
      </c>
      <c r="AN275" s="7">
        <v>0.011</v>
      </c>
      <c r="AO275" s="7">
        <v>0.0003</v>
      </c>
      <c r="AP275" s="7">
        <v>0.0061</v>
      </c>
      <c r="AQ275" s="7">
        <v>0.001</v>
      </c>
    </row>
    <row r="276" ht="15" customHeight="1">
      <c r="A276" s="6">
        <v>5706684</v>
      </c>
      <c r="C276" s="7" t="s">
        <v>51</v>
      </c>
      <c r="D276" s="7" t="s">
        <v>484</v>
      </c>
      <c r="E276" s="6">
        <v>0.069</v>
      </c>
      <c r="F276" s="7" t="s">
        <v>63</v>
      </c>
      <c r="G276" s="8">
        <v>56.13</v>
      </c>
      <c r="H276" s="9">
        <v>41740</v>
      </c>
      <c r="I276" s="10">
        <f t="shared" si="0"/>
        <v>20.87</v>
      </c>
      <c r="J276" s="10">
        <f t="shared" si="1"/>
        <v>417.4</v>
      </c>
      <c r="K276" s="7" t="s">
        <v>90</v>
      </c>
      <c r="S276" s="7">
        <v>66</v>
      </c>
      <c r="T276" s="7" t="s">
        <v>490</v>
      </c>
      <c r="U276" s="7" t="s">
        <v>498</v>
      </c>
      <c r="V276" s="7" t="s">
        <v>355</v>
      </c>
      <c r="W276" s="7" t="s">
        <v>547</v>
      </c>
      <c r="Z276" s="7" t="s">
        <v>548</v>
      </c>
      <c r="AA276" s="7">
        <v>0.04</v>
      </c>
      <c r="AB276" s="7">
        <v>0.2</v>
      </c>
      <c r="AC276" s="7">
        <v>0.012</v>
      </c>
      <c r="AD276" s="7">
        <v>0.002</v>
      </c>
      <c r="AE276" s="7">
        <v>0.026</v>
      </c>
      <c r="AF276" s="7">
        <v>0.1</v>
      </c>
      <c r="AG276" s="7">
        <v>0.03</v>
      </c>
      <c r="AH276" s="7">
        <v>0.07</v>
      </c>
      <c r="AI276" s="7">
        <v>0.01</v>
      </c>
      <c r="AJ276" s="7">
        <v>0.006</v>
      </c>
      <c r="AK276" s="7">
        <v>0.026</v>
      </c>
      <c r="AL276" s="7">
        <v>0.002</v>
      </c>
      <c r="AM276" s="7">
        <v>0.001</v>
      </c>
      <c r="AN276" s="7">
        <v>0.001</v>
      </c>
      <c r="AO276" s="7">
        <v>0.0001</v>
      </c>
      <c r="AP276" s="7">
        <v>0.0057</v>
      </c>
      <c r="AQ276" s="7">
        <v>0.002</v>
      </c>
    </row>
    <row r="277" ht="30" customHeight="1">
      <c r="A277" s="6">
        <v>5639193</v>
      </c>
      <c r="C277" s="7" t="s">
        <v>43</v>
      </c>
      <c r="D277" s="7" t="s">
        <v>484</v>
      </c>
      <c r="E277" s="6">
        <v>0.07</v>
      </c>
      <c r="F277" s="7" t="s">
        <v>63</v>
      </c>
      <c r="G277" s="8">
        <v>50.13</v>
      </c>
      <c r="H277" s="9">
        <v>44800</v>
      </c>
      <c r="I277" s="10">
        <f t="shared" si="0"/>
        <v>22.4</v>
      </c>
      <c r="J277" s="10">
        <f t="shared" si="1"/>
        <v>448</v>
      </c>
      <c r="K277" s="7" t="s">
        <v>121</v>
      </c>
      <c r="P277" s="7">
        <v>60.6</v>
      </c>
      <c r="Q277" s="7">
        <v>100.4</v>
      </c>
      <c r="R277" s="7">
        <v>23.6</v>
      </c>
      <c r="T277" s="7" t="s">
        <v>512</v>
      </c>
      <c r="U277" s="7" t="s">
        <v>513</v>
      </c>
      <c r="V277" s="7" t="s">
        <v>355</v>
      </c>
      <c r="W277" s="7" t="s">
        <v>514</v>
      </c>
      <c r="X277" s="7" t="s">
        <v>549</v>
      </c>
      <c r="Y277" s="7" t="s">
        <v>550</v>
      </c>
      <c r="Z277" s="7" t="s">
        <v>551</v>
      </c>
      <c r="AA277" s="7">
        <v>0.07</v>
      </c>
      <c r="AB277" s="7">
        <v>1.63</v>
      </c>
      <c r="AC277" s="7">
        <v>0.011</v>
      </c>
      <c r="AD277" s="7">
        <v>0</v>
      </c>
      <c r="AE277" s="7">
        <v>0.269</v>
      </c>
      <c r="AF277" s="7">
        <v>0.1</v>
      </c>
      <c r="AG277" s="7">
        <v>0.04</v>
      </c>
      <c r="AH277" s="7">
        <v>0.57</v>
      </c>
      <c r="AI277" s="7">
        <v>0.02</v>
      </c>
      <c r="AJ277" s="7">
        <v>0.002</v>
      </c>
      <c r="AK277" s="7">
        <v>0.03</v>
      </c>
      <c r="AL277" s="7">
        <v>0.007</v>
      </c>
      <c r="AM277" s="7">
        <v>0.013</v>
      </c>
      <c r="AN277" s="7">
        <v>0.01</v>
      </c>
      <c r="AO277" s="7">
        <v>0.0003</v>
      </c>
      <c r="AP277" s="7">
        <v>0.0075</v>
      </c>
      <c r="AQ277" s="7">
        <v>0.0009</v>
      </c>
    </row>
    <row r="278" ht="30" customHeight="1">
      <c r="A278" s="6">
        <v>5689440</v>
      </c>
      <c r="C278" s="7" t="s">
        <v>51</v>
      </c>
      <c r="D278" s="7" t="s">
        <v>484</v>
      </c>
      <c r="E278" s="6">
        <v>0.073</v>
      </c>
      <c r="F278" s="7" t="s">
        <v>63</v>
      </c>
      <c r="G278" s="8">
        <v>59.93</v>
      </c>
      <c r="H278" s="9">
        <v>51060</v>
      </c>
      <c r="I278" s="10">
        <f t="shared" si="0"/>
        <v>25.53</v>
      </c>
      <c r="J278" s="10">
        <f t="shared" si="1"/>
        <v>510.6</v>
      </c>
      <c r="K278" s="7" t="s">
        <v>90</v>
      </c>
      <c r="S278" s="7">
        <v>-1</v>
      </c>
      <c r="T278" s="7" t="s">
        <v>490</v>
      </c>
      <c r="U278" s="7" t="s">
        <v>493</v>
      </c>
      <c r="V278" s="7" t="s">
        <v>47</v>
      </c>
      <c r="W278" s="7" t="s">
        <v>552</v>
      </c>
      <c r="X278" s="7" t="s">
        <v>553</v>
      </c>
      <c r="Y278" s="7" t="s">
        <v>554</v>
      </c>
      <c r="Z278" s="7" t="s">
        <v>555</v>
      </c>
      <c r="AA278" s="7">
        <v>0.04</v>
      </c>
      <c r="AB278" s="7">
        <v>0.18</v>
      </c>
      <c r="AC278" s="7">
        <v>0.013</v>
      </c>
      <c r="AD278" s="7">
        <v>0.002</v>
      </c>
      <c r="AE278" s="7">
        <v>0.024</v>
      </c>
      <c r="AF278" s="7">
        <v>0.12</v>
      </c>
      <c r="AG278" s="7">
        <v>0.03</v>
      </c>
      <c r="AH278" s="7">
        <v>0.07</v>
      </c>
      <c r="AI278" s="7">
        <v>0.01</v>
      </c>
      <c r="AJ278" s="7">
        <v>0.006</v>
      </c>
      <c r="AK278" s="7">
        <v>0.036</v>
      </c>
      <c r="AL278" s="7">
        <v>0.002</v>
      </c>
      <c r="AM278" s="7">
        <v>0.001</v>
      </c>
      <c r="AN278" s="7">
        <v>0.001</v>
      </c>
      <c r="AO278" s="7">
        <v>0</v>
      </c>
      <c r="AP278" s="7">
        <v>0.005</v>
      </c>
      <c r="AQ278" s="7">
        <v>0.002</v>
      </c>
    </row>
    <row r="279" ht="15" customHeight="1">
      <c r="A279" s="6">
        <v>5639332</v>
      </c>
      <c r="C279" s="7" t="s">
        <v>51</v>
      </c>
      <c r="D279" s="7" t="s">
        <v>484</v>
      </c>
      <c r="E279" s="6">
        <v>0.077</v>
      </c>
      <c r="F279" s="7" t="s">
        <v>63</v>
      </c>
      <c r="G279" s="8">
        <v>40.06</v>
      </c>
      <c r="H279" s="9">
        <v>36820</v>
      </c>
      <c r="I279" s="10">
        <f t="shared" si="0"/>
        <v>18.41</v>
      </c>
      <c r="J279" s="10">
        <f t="shared" si="1"/>
        <v>368.2</v>
      </c>
      <c r="K279" s="7" t="s">
        <v>121</v>
      </c>
      <c r="P279" s="7">
        <v>49.3</v>
      </c>
      <c r="Q279" s="7">
        <v>83.8</v>
      </c>
      <c r="R279" s="7">
        <v>32.3</v>
      </c>
      <c r="S279" s="7">
        <v>85</v>
      </c>
      <c r="T279" s="7" t="s">
        <v>542</v>
      </c>
      <c r="U279" s="7" t="s">
        <v>498</v>
      </c>
      <c r="V279" s="7" t="s">
        <v>355</v>
      </c>
      <c r="W279" s="7" t="s">
        <v>556</v>
      </c>
      <c r="Z279" s="7" t="s">
        <v>557</v>
      </c>
      <c r="AA279" s="7">
        <v>0.07</v>
      </c>
      <c r="AB279" s="7">
        <v>1.53</v>
      </c>
      <c r="AC279" s="7">
        <v>0.016</v>
      </c>
      <c r="AD279" s="7">
        <v>0.002</v>
      </c>
      <c r="AE279" s="7">
        <v>0.249</v>
      </c>
      <c r="AF279" s="7">
        <v>0.13</v>
      </c>
      <c r="AG279" s="7">
        <v>0.04</v>
      </c>
      <c r="AH279" s="7">
        <v>0.58</v>
      </c>
      <c r="AI279" s="7">
        <v>0.01</v>
      </c>
      <c r="AJ279" s="7">
        <v>0.003</v>
      </c>
      <c r="AK279" s="7">
        <v>0.031</v>
      </c>
      <c r="AL279" s="7">
        <v>0.005</v>
      </c>
      <c r="AM279" s="7">
        <v>0.012</v>
      </c>
      <c r="AN279" s="7">
        <v>0.01</v>
      </c>
      <c r="AO279" s="7">
        <v>0.0003</v>
      </c>
      <c r="AP279" s="7">
        <v>0.0069</v>
      </c>
      <c r="AQ279" s="7">
        <v>0.0012</v>
      </c>
    </row>
    <row r="280" ht="30" customHeight="1">
      <c r="A280" s="6">
        <v>5639286</v>
      </c>
      <c r="C280" s="7" t="s">
        <v>43</v>
      </c>
      <c r="D280" s="7" t="s">
        <v>484</v>
      </c>
      <c r="E280" s="6">
        <v>0.077</v>
      </c>
      <c r="F280" s="7" t="s">
        <v>63</v>
      </c>
      <c r="G280" s="8">
        <v>40.13</v>
      </c>
      <c r="H280" s="9">
        <v>36540</v>
      </c>
      <c r="I280" s="10">
        <f t="shared" si="0"/>
        <v>18.27</v>
      </c>
      <c r="J280" s="10">
        <f t="shared" si="1"/>
        <v>365.4</v>
      </c>
      <c r="K280" s="7" t="s">
        <v>121</v>
      </c>
      <c r="L280" s="7">
        <v>53.1</v>
      </c>
      <c r="M280" s="7">
        <v>82.4</v>
      </c>
      <c r="N280" s="7">
        <v>30.2</v>
      </c>
      <c r="T280" s="7" t="s">
        <v>512</v>
      </c>
      <c r="U280" s="7" t="s">
        <v>513</v>
      </c>
      <c r="V280" s="7" t="s">
        <v>355</v>
      </c>
      <c r="W280" s="7" t="s">
        <v>558</v>
      </c>
      <c r="Z280" s="7" t="s">
        <v>559</v>
      </c>
      <c r="AA280" s="7">
        <v>0.07</v>
      </c>
      <c r="AB280" s="7">
        <v>1.56</v>
      </c>
      <c r="AC280" s="7">
        <v>0.013</v>
      </c>
      <c r="AD280" s="7">
        <v>0.001</v>
      </c>
      <c r="AE280" s="7">
        <v>0.238</v>
      </c>
      <c r="AF280" s="7">
        <v>0.12</v>
      </c>
      <c r="AG280" s="7">
        <v>0.03</v>
      </c>
      <c r="AH280" s="7">
        <v>0.59</v>
      </c>
      <c r="AI280" s="7">
        <v>0.01</v>
      </c>
      <c r="AJ280" s="7">
        <v>0.003</v>
      </c>
      <c r="AK280" s="7">
        <v>0.033</v>
      </c>
      <c r="AL280" s="7">
        <v>0.006</v>
      </c>
      <c r="AM280" s="7">
        <v>0.012</v>
      </c>
      <c r="AN280" s="7">
        <v>0.012</v>
      </c>
      <c r="AO280" s="7">
        <v>0.0003</v>
      </c>
      <c r="AP280" s="7">
        <v>0.0069</v>
      </c>
      <c r="AQ280" s="7">
        <v>0.0012</v>
      </c>
    </row>
    <row r="281" ht="30" customHeight="1">
      <c r="A281" s="6">
        <v>5698486</v>
      </c>
      <c r="C281" s="7" t="s">
        <v>43</v>
      </c>
      <c r="D281" s="7" t="s">
        <v>484</v>
      </c>
      <c r="E281" s="6">
        <v>0.077</v>
      </c>
      <c r="F281" s="7" t="s">
        <v>63</v>
      </c>
      <c r="G281" s="8">
        <v>41.06</v>
      </c>
      <c r="H281" s="9">
        <v>37920</v>
      </c>
      <c r="I281" s="10">
        <f t="shared" si="0"/>
        <v>18.96</v>
      </c>
      <c r="J281" s="10">
        <f t="shared" si="1"/>
        <v>379.2</v>
      </c>
      <c r="K281" s="7" t="s">
        <v>121</v>
      </c>
      <c r="P281" s="7">
        <v>60.6</v>
      </c>
      <c r="Q281" s="7">
        <v>103.1</v>
      </c>
      <c r="R281" s="7">
        <v>22.5</v>
      </c>
      <c r="S281" s="7">
        <v>91</v>
      </c>
      <c r="T281" s="7" t="s">
        <v>560</v>
      </c>
      <c r="U281" s="7" t="s">
        <v>498</v>
      </c>
      <c r="V281" s="7" t="s">
        <v>355</v>
      </c>
      <c r="W281" s="7" t="s">
        <v>561</v>
      </c>
      <c r="X281" s="7" t="s">
        <v>562</v>
      </c>
      <c r="AA281" s="7">
        <v>0.07</v>
      </c>
      <c r="AB281" s="7">
        <v>1.55</v>
      </c>
      <c r="AC281" s="7">
        <v>0.014</v>
      </c>
      <c r="AD281" s="7">
        <v>0.001</v>
      </c>
      <c r="AE281" s="7">
        <v>0.254</v>
      </c>
      <c r="AF281" s="7">
        <v>0.16</v>
      </c>
      <c r="AG281" s="7">
        <v>0.04</v>
      </c>
      <c r="AH281" s="7">
        <v>0.59</v>
      </c>
      <c r="AI281" s="7">
        <v>0.03</v>
      </c>
      <c r="AJ281" s="7">
        <v>0.009</v>
      </c>
      <c r="AK281" s="7">
        <v>0.031</v>
      </c>
      <c r="AL281" s="7">
        <v>0.007</v>
      </c>
      <c r="AM281" s="7">
        <v>0.013</v>
      </c>
      <c r="AN281" s="7">
        <v>0.012</v>
      </c>
      <c r="AO281" s="7">
        <v>0.0003</v>
      </c>
      <c r="AP281" s="7">
        <v>0.0063</v>
      </c>
      <c r="AQ281" s="7">
        <v>0.0017</v>
      </c>
    </row>
    <row r="282" ht="30" customHeight="1">
      <c r="A282" s="6">
        <v>5698482</v>
      </c>
      <c r="C282" s="7" t="s">
        <v>43</v>
      </c>
      <c r="D282" s="7" t="s">
        <v>484</v>
      </c>
      <c r="E282" s="6">
        <v>0.077</v>
      </c>
      <c r="F282" s="7" t="s">
        <v>63</v>
      </c>
      <c r="G282" s="8">
        <v>41.06</v>
      </c>
      <c r="H282" s="9">
        <v>38220</v>
      </c>
      <c r="I282" s="10">
        <f t="shared" si="0"/>
        <v>19.11</v>
      </c>
      <c r="J282" s="10">
        <f t="shared" si="1"/>
        <v>382.2</v>
      </c>
      <c r="K282" s="7" t="s">
        <v>121</v>
      </c>
      <c r="P282" s="7">
        <v>60.5</v>
      </c>
      <c r="Q282" s="7">
        <v>100.4</v>
      </c>
      <c r="R282" s="7">
        <v>23.9</v>
      </c>
      <c r="S282" s="7">
        <v>90</v>
      </c>
      <c r="T282" s="7" t="s">
        <v>560</v>
      </c>
      <c r="U282" s="7" t="s">
        <v>498</v>
      </c>
      <c r="V282" s="7" t="s">
        <v>355</v>
      </c>
      <c r="W282" s="7" t="s">
        <v>561</v>
      </c>
      <c r="X282" s="7" t="s">
        <v>562</v>
      </c>
      <c r="AA282" s="7">
        <v>0.07</v>
      </c>
      <c r="AB282" s="7">
        <v>1.54</v>
      </c>
      <c r="AC282" s="7">
        <v>0.012</v>
      </c>
      <c r="AD282" s="7">
        <v>0.001</v>
      </c>
      <c r="AE282" s="7">
        <v>0.256</v>
      </c>
      <c r="AF282" s="7">
        <v>0.13</v>
      </c>
      <c r="AG282" s="7">
        <v>0.04</v>
      </c>
      <c r="AH282" s="7">
        <v>0.59</v>
      </c>
      <c r="AI282" s="7">
        <v>0.02</v>
      </c>
      <c r="AJ282" s="7">
        <v>0.008</v>
      </c>
      <c r="AK282" s="7">
        <v>0.036</v>
      </c>
      <c r="AL282" s="7">
        <v>0.007</v>
      </c>
      <c r="AM282" s="7">
        <v>0.012</v>
      </c>
      <c r="AN282" s="7">
        <v>0.012</v>
      </c>
      <c r="AO282" s="7">
        <v>0.0002</v>
      </c>
      <c r="AP282" s="7">
        <v>0.0065</v>
      </c>
      <c r="AQ282" s="7">
        <v>0.0014</v>
      </c>
    </row>
    <row r="283" ht="30" customHeight="1">
      <c r="A283" s="6">
        <v>5698483</v>
      </c>
      <c r="C283" s="7" t="s">
        <v>43</v>
      </c>
      <c r="D283" s="7" t="s">
        <v>484</v>
      </c>
      <c r="E283" s="6">
        <v>0.077</v>
      </c>
      <c r="F283" s="7" t="s">
        <v>63</v>
      </c>
      <c r="G283" s="8">
        <v>41.13</v>
      </c>
      <c r="H283" s="9">
        <v>38260</v>
      </c>
      <c r="I283" s="10">
        <f t="shared" si="0"/>
        <v>19.13</v>
      </c>
      <c r="J283" s="10">
        <f t="shared" si="1"/>
        <v>382.6</v>
      </c>
      <c r="K283" s="7" t="s">
        <v>121</v>
      </c>
      <c r="P283" s="7">
        <v>60</v>
      </c>
      <c r="Q283" s="7">
        <v>101.8</v>
      </c>
      <c r="R283" s="7">
        <v>23.3</v>
      </c>
      <c r="S283" s="7">
        <v>91</v>
      </c>
      <c r="T283" s="7" t="s">
        <v>542</v>
      </c>
      <c r="U283" s="7" t="s">
        <v>498</v>
      </c>
      <c r="V283" s="7" t="s">
        <v>355</v>
      </c>
      <c r="W283" s="7" t="s">
        <v>514</v>
      </c>
      <c r="X283" s="7" t="s">
        <v>253</v>
      </c>
      <c r="Y283" s="7" t="s">
        <v>563</v>
      </c>
      <c r="AA283" s="7">
        <v>0.07</v>
      </c>
      <c r="AB283" s="7">
        <v>1.54</v>
      </c>
      <c r="AC283" s="7">
        <v>0.012</v>
      </c>
      <c r="AD283" s="7">
        <v>0.001</v>
      </c>
      <c r="AE283" s="7">
        <v>0.256</v>
      </c>
      <c r="AF283" s="7">
        <v>0.13</v>
      </c>
      <c r="AG283" s="7">
        <v>0.04</v>
      </c>
      <c r="AH283" s="7">
        <v>0.59</v>
      </c>
      <c r="AI283" s="7">
        <v>0.02</v>
      </c>
      <c r="AJ283" s="7">
        <v>0.008</v>
      </c>
      <c r="AK283" s="7">
        <v>0.036</v>
      </c>
      <c r="AL283" s="7">
        <v>0.007</v>
      </c>
      <c r="AM283" s="7">
        <v>0.012</v>
      </c>
      <c r="AN283" s="7">
        <v>0.012</v>
      </c>
      <c r="AO283" s="7">
        <v>0.0002</v>
      </c>
      <c r="AP283" s="7">
        <v>0.0065</v>
      </c>
      <c r="AQ283" s="7">
        <v>0.0014</v>
      </c>
    </row>
    <row r="284" ht="30" customHeight="1">
      <c r="A284" s="6">
        <v>5639285</v>
      </c>
      <c r="C284" s="7" t="s">
        <v>51</v>
      </c>
      <c r="D284" s="7" t="s">
        <v>484</v>
      </c>
      <c r="E284" s="6">
        <v>0.078</v>
      </c>
      <c r="F284" s="7" t="s">
        <v>63</v>
      </c>
      <c r="G284" s="8">
        <v>40.13</v>
      </c>
      <c r="H284" s="9">
        <v>36340</v>
      </c>
      <c r="I284" s="10">
        <f t="shared" si="0"/>
        <v>18.17</v>
      </c>
      <c r="J284" s="10">
        <f t="shared" si="1"/>
        <v>363.4</v>
      </c>
      <c r="K284" s="7" t="s">
        <v>121</v>
      </c>
      <c r="L284" s="7">
        <v>53.8</v>
      </c>
      <c r="M284" s="7">
        <v>84.8</v>
      </c>
      <c r="N284" s="7">
        <v>27.3</v>
      </c>
      <c r="T284" s="7" t="s">
        <v>544</v>
      </c>
      <c r="U284" s="7" t="s">
        <v>545</v>
      </c>
      <c r="V284" s="7" t="s">
        <v>355</v>
      </c>
      <c r="W284" s="7" t="s">
        <v>546</v>
      </c>
      <c r="AA284" s="7">
        <v>0.07</v>
      </c>
      <c r="AB284" s="7">
        <v>1.54</v>
      </c>
      <c r="AC284" s="7">
        <v>0.016</v>
      </c>
      <c r="AD284" s="7">
        <v>0.001</v>
      </c>
      <c r="AE284" s="7">
        <v>0.246</v>
      </c>
      <c r="AF284" s="7">
        <v>0.13</v>
      </c>
      <c r="AG284" s="7">
        <v>0.03</v>
      </c>
      <c r="AH284" s="7">
        <v>0.6</v>
      </c>
      <c r="AI284" s="7">
        <v>0.01</v>
      </c>
      <c r="AJ284" s="7">
        <v>0.003</v>
      </c>
      <c r="AK284" s="7">
        <v>0.041</v>
      </c>
      <c r="AL284" s="7">
        <v>0.005</v>
      </c>
      <c r="AM284" s="7">
        <v>0.012</v>
      </c>
      <c r="AN284" s="7">
        <v>0.012</v>
      </c>
      <c r="AO284" s="7">
        <v>0.0002</v>
      </c>
      <c r="AP284" s="7">
        <v>0.0066</v>
      </c>
      <c r="AQ284" s="7">
        <v>0.0016</v>
      </c>
    </row>
    <row r="285" ht="30" customHeight="1">
      <c r="A285" s="6">
        <v>5640080</v>
      </c>
      <c r="C285" s="7" t="s">
        <v>51</v>
      </c>
      <c r="D285" s="7" t="s">
        <v>484</v>
      </c>
      <c r="E285" s="6">
        <v>0.078</v>
      </c>
      <c r="F285" s="7" t="s">
        <v>63</v>
      </c>
      <c r="G285" s="8">
        <v>40.13</v>
      </c>
      <c r="H285" s="9">
        <v>37240</v>
      </c>
      <c r="I285" s="10">
        <f t="shared" si="0"/>
        <v>18.62</v>
      </c>
      <c r="J285" s="10">
        <f t="shared" si="1"/>
        <v>372.4</v>
      </c>
      <c r="K285" s="7" t="s">
        <v>121</v>
      </c>
      <c r="P285" s="7">
        <v>49.9</v>
      </c>
      <c r="Q285" s="7">
        <v>82.9</v>
      </c>
      <c r="R285" s="7">
        <v>30.5</v>
      </c>
      <c r="S285" s="7">
        <v>85</v>
      </c>
      <c r="T285" s="7" t="s">
        <v>542</v>
      </c>
      <c r="U285" s="7" t="s">
        <v>498</v>
      </c>
      <c r="V285" s="7" t="s">
        <v>355</v>
      </c>
      <c r="W285" s="7" t="s">
        <v>514</v>
      </c>
      <c r="AA285" s="7">
        <v>0.07</v>
      </c>
      <c r="AB285" s="7">
        <v>1.53</v>
      </c>
      <c r="AC285" s="7">
        <v>0.016</v>
      </c>
      <c r="AD285" s="7">
        <v>0.002</v>
      </c>
      <c r="AE285" s="7">
        <v>0.249</v>
      </c>
      <c r="AF285" s="7">
        <v>0.13</v>
      </c>
      <c r="AG285" s="7">
        <v>0.04</v>
      </c>
      <c r="AH285" s="7">
        <v>0.58</v>
      </c>
      <c r="AI285" s="7">
        <v>0.01</v>
      </c>
      <c r="AJ285" s="7">
        <v>0.003</v>
      </c>
      <c r="AK285" s="7">
        <v>0.031</v>
      </c>
      <c r="AL285" s="7">
        <v>0.005</v>
      </c>
      <c r="AM285" s="7">
        <v>0.012</v>
      </c>
      <c r="AN285" s="7">
        <v>0.01</v>
      </c>
      <c r="AO285" s="7">
        <v>0.0003</v>
      </c>
      <c r="AP285" s="7">
        <v>0.0069</v>
      </c>
      <c r="AQ285" s="7">
        <v>0.0012</v>
      </c>
    </row>
    <row r="286" ht="30" customHeight="1">
      <c r="A286" s="6">
        <v>5691223</v>
      </c>
      <c r="C286" s="7" t="s">
        <v>51</v>
      </c>
      <c r="D286" s="7" t="s">
        <v>484</v>
      </c>
      <c r="E286" s="6">
        <v>0.078</v>
      </c>
      <c r="F286" s="7" t="s">
        <v>63</v>
      </c>
      <c r="G286" s="8">
        <v>40.72</v>
      </c>
      <c r="H286" s="9">
        <v>26240</v>
      </c>
      <c r="I286" s="10">
        <f t="shared" si="0"/>
        <v>13.12</v>
      </c>
      <c r="J286" s="10">
        <f t="shared" si="1"/>
        <v>262.4</v>
      </c>
      <c r="K286" s="7" t="s">
        <v>57</v>
      </c>
      <c r="P286" s="7">
        <v>66.7</v>
      </c>
      <c r="Q286" s="7">
        <v>97.7</v>
      </c>
      <c r="R286" s="7">
        <v>22.5</v>
      </c>
      <c r="S286" s="7">
        <v>85</v>
      </c>
      <c r="T286" s="7" t="s">
        <v>564</v>
      </c>
      <c r="U286" s="7" t="s">
        <v>498</v>
      </c>
      <c r="V286" s="7" t="s">
        <v>355</v>
      </c>
      <c r="W286" s="7" t="s">
        <v>565</v>
      </c>
      <c r="X286" s="7" t="s">
        <v>514</v>
      </c>
      <c r="Y286" s="7" t="s">
        <v>566</v>
      </c>
      <c r="AA286" s="7">
        <v>0.07</v>
      </c>
      <c r="AB286" s="7">
        <v>1.51</v>
      </c>
      <c r="AC286" s="7">
        <v>0.011</v>
      </c>
      <c r="AD286" s="7">
        <v>0.001</v>
      </c>
      <c r="AE286" s="7">
        <v>0.231</v>
      </c>
      <c r="AF286" s="7">
        <v>0.12</v>
      </c>
      <c r="AG286" s="7">
        <v>0.03</v>
      </c>
      <c r="AH286" s="7">
        <v>0.59</v>
      </c>
      <c r="AI286" s="7">
        <v>0.01</v>
      </c>
      <c r="AJ286" s="7">
        <v>0.004</v>
      </c>
      <c r="AK286" s="7">
        <v>0.039</v>
      </c>
      <c r="AL286" s="7">
        <v>0.008</v>
      </c>
      <c r="AM286" s="7">
        <v>0.035</v>
      </c>
      <c r="AN286" s="7">
        <v>0.013</v>
      </c>
      <c r="AO286" s="7">
        <v>0.0002</v>
      </c>
      <c r="AP286" s="7">
        <v>0.0066</v>
      </c>
      <c r="AQ286" s="7">
        <v>0.0013</v>
      </c>
    </row>
    <row r="287" ht="30" customHeight="1">
      <c r="A287" s="6">
        <v>5688359</v>
      </c>
      <c r="C287" s="7" t="s">
        <v>51</v>
      </c>
      <c r="D287" s="7" t="s">
        <v>484</v>
      </c>
      <c r="E287" s="6">
        <v>0.079</v>
      </c>
      <c r="F287" s="7" t="s">
        <v>63</v>
      </c>
      <c r="G287" s="8">
        <v>40.69</v>
      </c>
      <c r="H287" s="9">
        <v>24040</v>
      </c>
      <c r="I287" s="10">
        <f t="shared" si="0"/>
        <v>12.02</v>
      </c>
      <c r="J287" s="10">
        <f t="shared" si="1"/>
        <v>240.4</v>
      </c>
      <c r="K287" s="7" t="s">
        <v>57</v>
      </c>
      <c r="P287" s="7">
        <v>66.4</v>
      </c>
      <c r="Q287" s="7">
        <v>97.7</v>
      </c>
      <c r="R287" s="7">
        <v>24.8</v>
      </c>
      <c r="S287" s="7">
        <v>89</v>
      </c>
      <c r="T287" s="7" t="s">
        <v>542</v>
      </c>
      <c r="U287" s="7" t="s">
        <v>498</v>
      </c>
      <c r="V287" s="7" t="s">
        <v>355</v>
      </c>
      <c r="W287" s="7" t="s">
        <v>565</v>
      </c>
      <c r="X287" s="7" t="s">
        <v>514</v>
      </c>
      <c r="Y287" s="7" t="s">
        <v>566</v>
      </c>
      <c r="Z287" s="7" t="s">
        <v>557</v>
      </c>
      <c r="AA287" s="7">
        <v>0.07</v>
      </c>
      <c r="AB287" s="7">
        <v>1.56</v>
      </c>
      <c r="AC287" s="7">
        <v>0.012</v>
      </c>
      <c r="AD287" s="7">
        <v>0.001</v>
      </c>
      <c r="AE287" s="7">
        <v>0.243</v>
      </c>
      <c r="AF287" s="7">
        <v>0.14</v>
      </c>
      <c r="AG287" s="7">
        <v>0.03</v>
      </c>
      <c r="AH287" s="7">
        <v>0.61</v>
      </c>
      <c r="AI287" s="7">
        <v>0.02</v>
      </c>
      <c r="AJ287" s="7">
        <v>0.005</v>
      </c>
      <c r="AK287" s="7">
        <v>0.039</v>
      </c>
      <c r="AL287" s="7">
        <v>0.006</v>
      </c>
      <c r="AM287" s="7">
        <v>0.035</v>
      </c>
      <c r="AN287" s="7">
        <v>0.013</v>
      </c>
      <c r="AO287" s="7">
        <v>0.0001</v>
      </c>
      <c r="AP287" s="7">
        <v>0.007</v>
      </c>
      <c r="AQ287" s="7">
        <v>0.0018</v>
      </c>
    </row>
    <row r="288" ht="15" customHeight="1">
      <c r="A288" s="6">
        <v>5610800.901</v>
      </c>
      <c r="C288" s="7" t="s">
        <v>51</v>
      </c>
      <c r="D288" s="7" t="s">
        <v>567</v>
      </c>
      <c r="E288" s="6">
        <v>0.017</v>
      </c>
      <c r="F288" s="7" t="s">
        <v>63</v>
      </c>
      <c r="G288" s="8">
        <v>49.25</v>
      </c>
      <c r="H288" s="9">
        <v>10500</v>
      </c>
      <c r="I288" s="10">
        <f t="shared" si="0"/>
        <v>5.25</v>
      </c>
      <c r="J288" s="10">
        <f t="shared" si="1"/>
        <v>105</v>
      </c>
      <c r="K288" s="7" t="s">
        <v>68</v>
      </c>
      <c r="P288" s="7">
        <v>49.1</v>
      </c>
      <c r="Q288" s="7">
        <v>57.8</v>
      </c>
      <c r="R288" s="7">
        <v>34.4</v>
      </c>
      <c r="S288" s="7">
        <v>56</v>
      </c>
      <c r="T288" s="7" t="s">
        <v>568</v>
      </c>
      <c r="U288" s="7" t="s">
        <v>569</v>
      </c>
      <c r="V288" s="7" t="s">
        <v>355</v>
      </c>
      <c r="W288" s="7" t="s">
        <v>570</v>
      </c>
      <c r="X288" s="7" t="s">
        <v>304</v>
      </c>
      <c r="Z288" s="7" t="s">
        <v>571</v>
      </c>
      <c r="AA288" s="7">
        <v>0.02</v>
      </c>
      <c r="AB288" s="7">
        <v>0.16</v>
      </c>
      <c r="AC288" s="7">
        <v>0.006</v>
      </c>
      <c r="AD288" s="7">
        <v>0.002</v>
      </c>
      <c r="AE288" s="7">
        <v>0.025</v>
      </c>
      <c r="AF288" s="7">
        <v>0.08</v>
      </c>
      <c r="AG288" s="7">
        <v>0.02</v>
      </c>
      <c r="AH288" s="7">
        <v>0.03</v>
      </c>
      <c r="AI288" s="7">
        <v>0.01</v>
      </c>
      <c r="AJ288" s="7">
        <v>0.002</v>
      </c>
      <c r="AK288" s="7">
        <v>0.045</v>
      </c>
      <c r="AL288" s="7">
        <v>0.001</v>
      </c>
      <c r="AM288" s="7">
        <v>0.001</v>
      </c>
      <c r="AN288" s="7">
        <v>0.001</v>
      </c>
      <c r="AO288" s="7">
        <v>0.0003</v>
      </c>
      <c r="AP288" s="7">
        <v>0.006</v>
      </c>
      <c r="AQ288" s="7">
        <v>0.002</v>
      </c>
    </row>
    <row r="289" ht="30" customHeight="1">
      <c r="A289" s="6">
        <v>5667374.901</v>
      </c>
      <c r="C289" s="7" t="s">
        <v>51</v>
      </c>
      <c r="D289" s="7" t="s">
        <v>567</v>
      </c>
      <c r="E289" s="6">
        <v>0.023</v>
      </c>
      <c r="F289" s="7" t="s">
        <v>63</v>
      </c>
      <c r="G289" s="8">
        <v>48.19</v>
      </c>
      <c r="H289" s="9">
        <v>14360</v>
      </c>
      <c r="I289" s="10">
        <f t="shared" si="0"/>
        <v>7.18</v>
      </c>
      <c r="J289" s="10">
        <f t="shared" si="1"/>
        <v>143.6</v>
      </c>
      <c r="K289" s="7" t="s">
        <v>90</v>
      </c>
      <c r="S289" s="7">
        <v>64</v>
      </c>
      <c r="T289" s="7" t="s">
        <v>572</v>
      </c>
      <c r="U289" s="7" t="s">
        <v>486</v>
      </c>
      <c r="V289" s="7" t="s">
        <v>47</v>
      </c>
      <c r="W289" s="7" t="s">
        <v>504</v>
      </c>
      <c r="X289" s="7" t="s">
        <v>399</v>
      </c>
      <c r="Y289" s="7" t="s">
        <v>506</v>
      </c>
      <c r="AA289" s="7">
        <v>0.04</v>
      </c>
      <c r="AB289" s="7">
        <v>0.18</v>
      </c>
      <c r="AC289" s="7">
        <v>0.009</v>
      </c>
      <c r="AD289" s="7">
        <v>0.003</v>
      </c>
      <c r="AE289" s="7">
        <v>0.021</v>
      </c>
      <c r="AF289" s="7">
        <v>0.11</v>
      </c>
      <c r="AG289" s="7">
        <v>0.03</v>
      </c>
      <c r="AH289" s="7">
        <v>0.05</v>
      </c>
      <c r="AI289" s="7">
        <v>0.01</v>
      </c>
      <c r="AJ289" s="7">
        <v>0.003</v>
      </c>
      <c r="AK289" s="7">
        <v>0.035</v>
      </c>
      <c r="AL289" s="7">
        <v>0.003</v>
      </c>
      <c r="AM289" s="7">
        <v>0.001</v>
      </c>
      <c r="AN289" s="7">
        <v>0.001</v>
      </c>
      <c r="AO289" s="7">
        <v>0.0001</v>
      </c>
      <c r="AP289" s="7">
        <v>0.0058</v>
      </c>
      <c r="AQ289" s="7">
        <v>0.0012</v>
      </c>
    </row>
    <row r="290" ht="30" customHeight="1">
      <c r="A290" s="6">
        <v>5358720</v>
      </c>
      <c r="C290" s="7" t="s">
        <v>51</v>
      </c>
      <c r="D290" s="7" t="s">
        <v>567</v>
      </c>
      <c r="E290" s="6">
        <v>0.029</v>
      </c>
      <c r="F290" s="7" t="s">
        <v>45</v>
      </c>
      <c r="G290" s="8">
        <v>50.31</v>
      </c>
      <c r="H290" s="9">
        <v>32520</v>
      </c>
      <c r="I290" s="10">
        <f t="shared" si="0"/>
        <v>16.26</v>
      </c>
      <c r="J290" s="10">
        <f t="shared" si="1"/>
        <v>325.2</v>
      </c>
      <c r="K290" s="7" t="s">
        <v>469</v>
      </c>
      <c r="S290" s="7">
        <v>41</v>
      </c>
      <c r="T290" s="7" t="s">
        <v>572</v>
      </c>
      <c r="U290" s="7" t="s">
        <v>498</v>
      </c>
      <c r="V290" s="7" t="s">
        <v>355</v>
      </c>
      <c r="W290" s="7" t="s">
        <v>573</v>
      </c>
      <c r="X290" s="7" t="s">
        <v>574</v>
      </c>
      <c r="AA290" s="7">
        <v>0.003</v>
      </c>
      <c r="AB290" s="7">
        <v>0.04</v>
      </c>
      <c r="AC290" s="7">
        <v>0.01</v>
      </c>
      <c r="AD290" s="7">
        <v>0.003</v>
      </c>
      <c r="AE290" s="7">
        <v>0.03</v>
      </c>
      <c r="AF290" s="7">
        <v>0.08</v>
      </c>
      <c r="AG290" s="7">
        <v>0.03</v>
      </c>
      <c r="AH290" s="7">
        <v>0.03</v>
      </c>
      <c r="AI290" s="7">
        <v>0.01</v>
      </c>
      <c r="AJ290" s="7">
        <v>0.004</v>
      </c>
      <c r="AK290" s="7">
        <v>0.04</v>
      </c>
      <c r="AL290" s="7">
        <v>0.002</v>
      </c>
      <c r="AM290" s="7">
        <v>0.001</v>
      </c>
      <c r="AN290" s="7">
        <v>0.074</v>
      </c>
      <c r="AO290" s="7">
        <v>0</v>
      </c>
      <c r="AP290" s="7">
        <v>0.005</v>
      </c>
      <c r="AQ290" s="7">
        <v>0.002</v>
      </c>
    </row>
    <row r="291" ht="30" customHeight="1">
      <c r="A291" s="6">
        <v>5379152</v>
      </c>
      <c r="C291" s="7" t="s">
        <v>43</v>
      </c>
      <c r="D291" s="7" t="s">
        <v>567</v>
      </c>
      <c r="E291" s="6">
        <v>0.03</v>
      </c>
      <c r="F291" s="7" t="s">
        <v>45</v>
      </c>
      <c r="G291" s="8">
        <v>53.69</v>
      </c>
      <c r="H291" s="9">
        <v>32900</v>
      </c>
      <c r="I291" s="10">
        <f t="shared" si="0"/>
        <v>16.45</v>
      </c>
      <c r="J291" s="10">
        <f t="shared" si="1"/>
        <v>329</v>
      </c>
      <c r="K291" s="7" t="s">
        <v>469</v>
      </c>
      <c r="P291" s="7">
        <v>25</v>
      </c>
      <c r="Q291" s="7">
        <v>42.6</v>
      </c>
      <c r="R291" s="7">
        <v>44.9</v>
      </c>
      <c r="S291" s="7">
        <v>40</v>
      </c>
      <c r="T291" s="7" t="s">
        <v>575</v>
      </c>
      <c r="U291" s="7" t="s">
        <v>545</v>
      </c>
      <c r="V291" s="7" t="s">
        <v>355</v>
      </c>
      <c r="W291" s="7" t="s">
        <v>576</v>
      </c>
      <c r="X291" s="7" t="s">
        <v>92</v>
      </c>
      <c r="Y291" s="7" t="s">
        <v>447</v>
      </c>
      <c r="AA291" s="7">
        <v>0.003</v>
      </c>
      <c r="AB291" s="7">
        <v>0.05</v>
      </c>
      <c r="AC291" s="7">
        <v>0.011</v>
      </c>
      <c r="AD291" s="7">
        <v>0.002</v>
      </c>
      <c r="AE291" s="7">
        <v>0.03</v>
      </c>
      <c r="AF291" s="7">
        <v>0.08</v>
      </c>
      <c r="AG291" s="7">
        <v>0.03</v>
      </c>
      <c r="AH291" s="7">
        <v>0.04</v>
      </c>
      <c r="AI291" s="7">
        <v>0.01</v>
      </c>
      <c r="AJ291" s="7">
        <v>0.003</v>
      </c>
      <c r="AK291" s="7">
        <v>0.04</v>
      </c>
      <c r="AL291" s="7">
        <v>0.002</v>
      </c>
      <c r="AM291" s="7">
        <v>0</v>
      </c>
      <c r="AN291" s="7">
        <v>0.072</v>
      </c>
      <c r="AO291" s="7">
        <v>0</v>
      </c>
      <c r="AP291" s="7">
        <v>0.004</v>
      </c>
      <c r="AQ291" s="7">
        <v>0.002</v>
      </c>
    </row>
    <row r="292" ht="30" customHeight="1">
      <c r="A292" s="6">
        <v>5379161</v>
      </c>
      <c r="C292" s="7" t="s">
        <v>43</v>
      </c>
      <c r="D292" s="7" t="s">
        <v>567</v>
      </c>
      <c r="E292" s="6">
        <v>0.03</v>
      </c>
      <c r="F292" s="7" t="s">
        <v>45</v>
      </c>
      <c r="G292" s="8">
        <v>53.69</v>
      </c>
      <c r="H292" s="9">
        <v>33880</v>
      </c>
      <c r="I292" s="10">
        <f t="shared" si="0"/>
        <v>16.94</v>
      </c>
      <c r="J292" s="10">
        <f t="shared" si="1"/>
        <v>338.8</v>
      </c>
      <c r="K292" s="7" t="s">
        <v>469</v>
      </c>
      <c r="P292" s="7">
        <v>21.2</v>
      </c>
      <c r="Q292" s="7">
        <v>43.2</v>
      </c>
      <c r="R292" s="7">
        <v>40.8</v>
      </c>
      <c r="S292" s="7">
        <v>34</v>
      </c>
      <c r="T292" s="7" t="s">
        <v>568</v>
      </c>
      <c r="U292" s="7" t="s">
        <v>498</v>
      </c>
      <c r="V292" s="7" t="s">
        <v>355</v>
      </c>
      <c r="W292" s="7" t="s">
        <v>323</v>
      </c>
      <c r="X292" s="7" t="s">
        <v>324</v>
      </c>
      <c r="Y292" s="7" t="s">
        <v>576</v>
      </c>
      <c r="AA292" s="7">
        <v>0.004</v>
      </c>
      <c r="AB292" s="7">
        <v>0.04</v>
      </c>
      <c r="AC292" s="7">
        <v>0.009</v>
      </c>
      <c r="AD292" s="7">
        <v>0.002</v>
      </c>
      <c r="AE292" s="7">
        <v>0.03</v>
      </c>
      <c r="AF292" s="7">
        <v>0.08</v>
      </c>
      <c r="AG292" s="7">
        <v>0.02</v>
      </c>
      <c r="AH292" s="7">
        <v>0.04</v>
      </c>
      <c r="AI292" s="7">
        <v>0.01</v>
      </c>
      <c r="AJ292" s="7">
        <v>0.004</v>
      </c>
      <c r="AK292" s="7">
        <v>0.04</v>
      </c>
      <c r="AL292" s="7">
        <v>0.002</v>
      </c>
      <c r="AM292" s="7">
        <v>0</v>
      </c>
      <c r="AN292" s="7">
        <v>0.073</v>
      </c>
      <c r="AO292" s="7">
        <v>0</v>
      </c>
      <c r="AP292" s="7">
        <v>0.004</v>
      </c>
      <c r="AQ292" s="7">
        <v>0.002</v>
      </c>
    </row>
    <row r="293" ht="30" customHeight="1">
      <c r="A293" s="6">
        <v>5680832.902</v>
      </c>
      <c r="C293" s="7" t="s">
        <v>43</v>
      </c>
      <c r="D293" s="7" t="s">
        <v>567</v>
      </c>
      <c r="E293" s="6">
        <v>0.031</v>
      </c>
      <c r="F293" s="7" t="s">
        <v>45</v>
      </c>
      <c r="G293" s="8">
        <v>37.06</v>
      </c>
      <c r="H293" s="9">
        <v>21000</v>
      </c>
      <c r="I293" s="10">
        <f t="shared" si="0"/>
        <v>10.5</v>
      </c>
      <c r="J293" s="10">
        <f t="shared" si="1"/>
        <v>210</v>
      </c>
      <c r="K293" s="7" t="s">
        <v>121</v>
      </c>
      <c r="P293" s="7">
        <v>53.4</v>
      </c>
      <c r="Q293" s="7">
        <v>92.6</v>
      </c>
      <c r="R293" s="7">
        <v>25.3</v>
      </c>
      <c r="S293" s="7">
        <v>83</v>
      </c>
      <c r="T293" s="7" t="s">
        <v>577</v>
      </c>
      <c r="U293" s="7" t="s">
        <v>498</v>
      </c>
      <c r="V293" s="7" t="s">
        <v>355</v>
      </c>
      <c r="W293" s="7" t="s">
        <v>409</v>
      </c>
      <c r="X293" s="7" t="s">
        <v>514</v>
      </c>
      <c r="Z293" s="7" t="s">
        <v>578</v>
      </c>
      <c r="AA293" s="7">
        <v>0.07</v>
      </c>
      <c r="AB293" s="7">
        <v>1.56</v>
      </c>
      <c r="AC293" s="7">
        <v>0.013</v>
      </c>
      <c r="AD293" s="7">
        <v>0.001</v>
      </c>
      <c r="AE293" s="7">
        <v>0.238</v>
      </c>
      <c r="AF293" s="7">
        <v>0.12</v>
      </c>
      <c r="AG293" s="7">
        <v>0.03</v>
      </c>
      <c r="AH293" s="7">
        <v>0.59</v>
      </c>
      <c r="AI293" s="7">
        <v>0.01</v>
      </c>
      <c r="AJ293" s="7">
        <v>0.003</v>
      </c>
      <c r="AK293" s="7">
        <v>0.033</v>
      </c>
      <c r="AL293" s="7">
        <v>0.006</v>
      </c>
      <c r="AM293" s="7">
        <v>0.012</v>
      </c>
      <c r="AN293" s="7">
        <v>0.012</v>
      </c>
      <c r="AO293" s="7">
        <v>0.0003</v>
      </c>
      <c r="AP293" s="7">
        <v>0.0069</v>
      </c>
      <c r="AQ293" s="7">
        <v>0.0012</v>
      </c>
    </row>
    <row r="294" ht="30" customHeight="1">
      <c r="A294" s="6">
        <v>5639994.901</v>
      </c>
      <c r="C294" s="7" t="s">
        <v>43</v>
      </c>
      <c r="D294" s="7" t="s">
        <v>567</v>
      </c>
      <c r="E294" s="6">
        <v>0.031</v>
      </c>
      <c r="F294" s="7" t="s">
        <v>45</v>
      </c>
      <c r="G294" s="8">
        <v>37.06</v>
      </c>
      <c r="H294" s="9">
        <v>21220</v>
      </c>
      <c r="I294" s="10">
        <f t="shared" si="0"/>
        <v>10.61</v>
      </c>
      <c r="J294" s="10">
        <f t="shared" si="1"/>
        <v>212.2</v>
      </c>
      <c r="K294" s="7" t="s">
        <v>121</v>
      </c>
      <c r="P294" s="7">
        <v>54.8</v>
      </c>
      <c r="Q294" s="7">
        <v>93.7</v>
      </c>
      <c r="R294" s="7">
        <v>24.4</v>
      </c>
      <c r="S294" s="7">
        <v>84</v>
      </c>
      <c r="T294" s="7" t="s">
        <v>577</v>
      </c>
      <c r="U294" s="7" t="s">
        <v>498</v>
      </c>
      <c r="V294" s="7" t="s">
        <v>355</v>
      </c>
      <c r="W294" s="7" t="s">
        <v>409</v>
      </c>
      <c r="Z294" s="7" t="s">
        <v>579</v>
      </c>
      <c r="AA294" s="7">
        <v>0.07</v>
      </c>
      <c r="AB294" s="7">
        <v>1.56</v>
      </c>
      <c r="AC294" s="7">
        <v>0.013</v>
      </c>
      <c r="AD294" s="7">
        <v>0.001</v>
      </c>
      <c r="AE294" s="7">
        <v>0.238</v>
      </c>
      <c r="AF294" s="7">
        <v>0.12</v>
      </c>
      <c r="AG294" s="7">
        <v>0.03</v>
      </c>
      <c r="AH294" s="7">
        <v>0.59</v>
      </c>
      <c r="AI294" s="7">
        <v>0.01</v>
      </c>
      <c r="AJ294" s="7">
        <v>0.003</v>
      </c>
      <c r="AK294" s="7">
        <v>0.033</v>
      </c>
      <c r="AL294" s="7">
        <v>0.006</v>
      </c>
      <c r="AM294" s="7">
        <v>0.012</v>
      </c>
      <c r="AN294" s="7">
        <v>0.012</v>
      </c>
      <c r="AO294" s="7">
        <v>0.0003</v>
      </c>
      <c r="AP294" s="7">
        <v>0.0069</v>
      </c>
      <c r="AQ294" s="7">
        <v>0.0012</v>
      </c>
    </row>
    <row r="295" ht="30" customHeight="1">
      <c r="A295" s="6">
        <v>5639998.901</v>
      </c>
      <c r="C295" s="7" t="s">
        <v>43</v>
      </c>
      <c r="D295" s="7" t="s">
        <v>567</v>
      </c>
      <c r="E295" s="6">
        <v>0.031</v>
      </c>
      <c r="F295" s="7" t="s">
        <v>45</v>
      </c>
      <c r="G295" s="8">
        <v>37.06</v>
      </c>
      <c r="H295" s="9">
        <v>21520</v>
      </c>
      <c r="I295" s="10">
        <f t="shared" si="0"/>
        <v>10.76</v>
      </c>
      <c r="J295" s="10">
        <f t="shared" si="1"/>
        <v>215.2</v>
      </c>
      <c r="K295" s="7" t="s">
        <v>121</v>
      </c>
      <c r="P295" s="7">
        <v>54.7</v>
      </c>
      <c r="Q295" s="7">
        <v>93.5</v>
      </c>
      <c r="R295" s="7">
        <v>24.5</v>
      </c>
      <c r="S295" s="7">
        <v>84</v>
      </c>
      <c r="T295" s="7" t="s">
        <v>577</v>
      </c>
      <c r="U295" s="7" t="s">
        <v>498</v>
      </c>
      <c r="V295" s="7" t="s">
        <v>355</v>
      </c>
      <c r="W295" s="7" t="s">
        <v>409</v>
      </c>
      <c r="X295" s="7" t="s">
        <v>514</v>
      </c>
      <c r="Z295" s="7" t="s">
        <v>580</v>
      </c>
      <c r="AA295" s="7">
        <v>0.07</v>
      </c>
      <c r="AB295" s="7">
        <v>1.54</v>
      </c>
      <c r="AC295" s="7">
        <v>0.013</v>
      </c>
      <c r="AD295" s="7">
        <v>0.001</v>
      </c>
      <c r="AE295" s="7">
        <v>0.242</v>
      </c>
      <c r="AF295" s="7">
        <v>0.12</v>
      </c>
      <c r="AG295" s="7">
        <v>0.03</v>
      </c>
      <c r="AH295" s="7">
        <v>0.61</v>
      </c>
      <c r="AI295" s="7">
        <v>0.01</v>
      </c>
      <c r="AJ295" s="7">
        <v>0.004</v>
      </c>
      <c r="AK295" s="7">
        <v>0.035</v>
      </c>
      <c r="AL295" s="7">
        <v>0.006</v>
      </c>
      <c r="AM295" s="7">
        <v>0.012</v>
      </c>
      <c r="AN295" s="7">
        <v>0.012</v>
      </c>
      <c r="AO295" s="7">
        <v>0.0003</v>
      </c>
      <c r="AP295" s="7">
        <v>0.0069</v>
      </c>
      <c r="AQ295" s="7">
        <v>0.0013</v>
      </c>
    </row>
    <row r="296" ht="30" customHeight="1">
      <c r="A296" s="6">
        <v>5551851.901</v>
      </c>
      <c r="C296" s="7" t="s">
        <v>43</v>
      </c>
      <c r="D296" s="7" t="s">
        <v>567</v>
      </c>
      <c r="E296" s="6">
        <v>0.031</v>
      </c>
      <c r="F296" s="7" t="s">
        <v>45</v>
      </c>
      <c r="G296" s="8">
        <v>37.13</v>
      </c>
      <c r="H296" s="9">
        <v>21220</v>
      </c>
      <c r="I296" s="10">
        <f t="shared" si="0"/>
        <v>10.61</v>
      </c>
      <c r="J296" s="10">
        <f t="shared" si="1"/>
        <v>212.2</v>
      </c>
      <c r="K296" s="7" t="s">
        <v>121</v>
      </c>
      <c r="P296" s="7">
        <v>55.3</v>
      </c>
      <c r="Q296" s="7">
        <v>92.3</v>
      </c>
      <c r="R296" s="7">
        <v>23.3</v>
      </c>
      <c r="S296" s="7">
        <v>83</v>
      </c>
      <c r="T296" s="7" t="s">
        <v>577</v>
      </c>
      <c r="U296" s="7" t="s">
        <v>498</v>
      </c>
      <c r="V296" s="7" t="s">
        <v>355</v>
      </c>
      <c r="W296" s="7" t="s">
        <v>409</v>
      </c>
      <c r="X296" s="7" t="s">
        <v>514</v>
      </c>
      <c r="Z296" s="7" t="s">
        <v>581</v>
      </c>
      <c r="AA296" s="7">
        <v>0.07</v>
      </c>
      <c r="AB296" s="7">
        <v>1.57</v>
      </c>
      <c r="AC296" s="7">
        <v>0.009</v>
      </c>
      <c r="AD296" s="7">
        <v>0</v>
      </c>
      <c r="AE296" s="7">
        <v>0.262</v>
      </c>
      <c r="AF296" s="7">
        <v>0.1</v>
      </c>
      <c r="AG296" s="7">
        <v>0.03</v>
      </c>
      <c r="AH296" s="7">
        <v>0.6</v>
      </c>
      <c r="AI296" s="7">
        <v>0.01</v>
      </c>
      <c r="AJ296" s="7">
        <v>0.002</v>
      </c>
      <c r="AK296" s="7">
        <v>0.035</v>
      </c>
      <c r="AL296" s="7">
        <v>0.006</v>
      </c>
      <c r="AM296" s="7">
        <v>0.014</v>
      </c>
      <c r="AN296" s="7">
        <v>0.01</v>
      </c>
      <c r="AO296" s="7">
        <v>0.0001</v>
      </c>
      <c r="AP296" s="7">
        <v>0.0063</v>
      </c>
      <c r="AQ296" s="7">
        <v>0.0019</v>
      </c>
    </row>
    <row r="297" ht="30" customHeight="1">
      <c r="A297" s="6">
        <v>5551851.902</v>
      </c>
      <c r="C297" s="7" t="s">
        <v>43</v>
      </c>
      <c r="D297" s="7" t="s">
        <v>567</v>
      </c>
      <c r="E297" s="6">
        <v>0.031</v>
      </c>
      <c r="F297" s="7" t="s">
        <v>45</v>
      </c>
      <c r="G297" s="8">
        <v>37.13</v>
      </c>
      <c r="H297" s="9">
        <v>21400</v>
      </c>
      <c r="I297" s="10">
        <f t="shared" si="0"/>
        <v>10.7</v>
      </c>
      <c r="J297" s="10">
        <f t="shared" si="1"/>
        <v>214</v>
      </c>
      <c r="K297" s="7" t="s">
        <v>121</v>
      </c>
      <c r="P297" s="7">
        <v>55.3</v>
      </c>
      <c r="Q297" s="7">
        <v>92.3</v>
      </c>
      <c r="R297" s="7">
        <v>23.3</v>
      </c>
      <c r="S297" s="7">
        <v>83</v>
      </c>
      <c r="T297" s="7" t="s">
        <v>577</v>
      </c>
      <c r="U297" s="7" t="s">
        <v>498</v>
      </c>
      <c r="V297" s="7" t="s">
        <v>355</v>
      </c>
      <c r="W297" s="7" t="s">
        <v>409</v>
      </c>
      <c r="X297" s="7" t="s">
        <v>514</v>
      </c>
      <c r="Z297" s="7" t="s">
        <v>582</v>
      </c>
      <c r="AA297" s="7">
        <v>0.07</v>
      </c>
      <c r="AB297" s="7">
        <v>1.57</v>
      </c>
      <c r="AC297" s="7">
        <v>0.009</v>
      </c>
      <c r="AD297" s="7">
        <v>0</v>
      </c>
      <c r="AE297" s="7">
        <v>0.262</v>
      </c>
      <c r="AF297" s="7">
        <v>0.1</v>
      </c>
      <c r="AG297" s="7">
        <v>0.03</v>
      </c>
      <c r="AH297" s="7">
        <v>0.6</v>
      </c>
      <c r="AI297" s="7">
        <v>0.01</v>
      </c>
      <c r="AJ297" s="7">
        <v>0.002</v>
      </c>
      <c r="AK297" s="7">
        <v>0.035</v>
      </c>
      <c r="AL297" s="7">
        <v>0.006</v>
      </c>
      <c r="AM297" s="7">
        <v>0.014</v>
      </c>
      <c r="AN297" s="7">
        <v>0.01</v>
      </c>
      <c r="AO297" s="7">
        <v>0.0001</v>
      </c>
      <c r="AP297" s="7">
        <v>0.0063</v>
      </c>
      <c r="AQ297" s="7">
        <v>0.0019</v>
      </c>
    </row>
    <row r="298" ht="30" customHeight="1">
      <c r="A298" s="6">
        <v>5651578.901</v>
      </c>
      <c r="C298" s="7" t="s">
        <v>51</v>
      </c>
      <c r="D298" s="7" t="s">
        <v>567</v>
      </c>
      <c r="E298" s="6">
        <v>0.032</v>
      </c>
      <c r="F298" s="7" t="s">
        <v>63</v>
      </c>
      <c r="G298" s="8">
        <v>48.41</v>
      </c>
      <c r="H298" s="9">
        <v>26440</v>
      </c>
      <c r="I298" s="10">
        <f t="shared" si="0"/>
        <v>13.22</v>
      </c>
      <c r="J298" s="10">
        <f t="shared" si="1"/>
        <v>264.4</v>
      </c>
      <c r="K298" s="7" t="s">
        <v>90</v>
      </c>
      <c r="P298" s="7">
        <v>98.1</v>
      </c>
      <c r="Q298" s="7">
        <v>100.6</v>
      </c>
      <c r="R298" s="7">
        <v>11.7</v>
      </c>
      <c r="S298" s="7">
        <v>94</v>
      </c>
      <c r="T298" s="7" t="s">
        <v>583</v>
      </c>
      <c r="U298" s="7" t="s">
        <v>584</v>
      </c>
      <c r="V298" s="7" t="s">
        <v>47</v>
      </c>
      <c r="W298" s="7" t="s">
        <v>585</v>
      </c>
      <c r="X298" s="7" t="s">
        <v>586</v>
      </c>
      <c r="Y298" s="7" t="s">
        <v>587</v>
      </c>
      <c r="AA298" s="7">
        <v>0.04</v>
      </c>
      <c r="AB298" s="7">
        <v>0.2</v>
      </c>
      <c r="AC298" s="7">
        <v>0.008</v>
      </c>
      <c r="AD298" s="7">
        <v>0.001</v>
      </c>
      <c r="AE298" s="7">
        <v>0.03</v>
      </c>
      <c r="AF298" s="7">
        <v>0.1</v>
      </c>
      <c r="AG298" s="7">
        <v>0.03</v>
      </c>
      <c r="AH298" s="7">
        <v>0.05</v>
      </c>
      <c r="AI298" s="7">
        <v>0.01</v>
      </c>
      <c r="AJ298" s="7">
        <v>0.002</v>
      </c>
      <c r="AK298" s="7">
        <v>0.042</v>
      </c>
      <c r="AL298" s="7">
        <v>0.004</v>
      </c>
      <c r="AM298" s="7">
        <v>0.001</v>
      </c>
      <c r="AN298" s="7">
        <v>0.002</v>
      </c>
      <c r="AO298" s="7">
        <v>0.0001</v>
      </c>
      <c r="AP298" s="7">
        <v>0.0045</v>
      </c>
      <c r="AQ298" s="7">
        <v>0.0019</v>
      </c>
    </row>
    <row r="299" ht="30" customHeight="1">
      <c r="A299" s="6">
        <v>5694789.903</v>
      </c>
      <c r="C299" s="7" t="s">
        <v>51</v>
      </c>
      <c r="D299" s="7" t="s">
        <v>567</v>
      </c>
      <c r="E299" s="6">
        <v>0.034</v>
      </c>
      <c r="F299" s="7" t="s">
        <v>63</v>
      </c>
      <c r="G299" s="8">
        <v>46.13</v>
      </c>
      <c r="H299" s="9">
        <v>19620</v>
      </c>
      <c r="I299" s="10">
        <f t="shared" si="0"/>
        <v>9.81</v>
      </c>
      <c r="J299" s="10">
        <f t="shared" si="1"/>
        <v>196.2</v>
      </c>
      <c r="K299" s="7" t="s">
        <v>588</v>
      </c>
      <c r="P299" s="7">
        <v>60.8</v>
      </c>
      <c r="Q299" s="7">
        <v>79.1</v>
      </c>
      <c r="R299" s="7">
        <v>26.6</v>
      </c>
      <c r="S299" s="7">
        <v>72</v>
      </c>
      <c r="T299" s="7" t="s">
        <v>589</v>
      </c>
      <c r="U299" s="7" t="s">
        <v>569</v>
      </c>
      <c r="V299" s="7" t="s">
        <v>47</v>
      </c>
      <c r="W299" s="7" t="s">
        <v>590</v>
      </c>
      <c r="X299" s="7" t="s">
        <v>517</v>
      </c>
      <c r="AA299" s="7">
        <v>0.2</v>
      </c>
      <c r="AB299" s="7">
        <v>0.4</v>
      </c>
      <c r="AC299" s="7">
        <v>0.008</v>
      </c>
      <c r="AD299" s="7">
        <v>0.003</v>
      </c>
      <c r="AE299" s="7">
        <v>0.016</v>
      </c>
      <c r="AF299" s="7">
        <v>0.12</v>
      </c>
      <c r="AG299" s="7">
        <v>0.03</v>
      </c>
      <c r="AH299" s="7">
        <v>0.04</v>
      </c>
      <c r="AI299" s="7">
        <v>0.01</v>
      </c>
      <c r="AJ299" s="7">
        <v>0.004</v>
      </c>
      <c r="AK299" s="7">
        <v>0.036</v>
      </c>
      <c r="AL299" s="7">
        <v>0.002</v>
      </c>
      <c r="AM299" s="7">
        <v>0.001</v>
      </c>
      <c r="AN299" s="7">
        <v>0.001</v>
      </c>
      <c r="AO299" s="7">
        <v>0.0001</v>
      </c>
      <c r="AP299" s="7">
        <v>0.0059</v>
      </c>
      <c r="AQ299" s="7">
        <v>0.0019</v>
      </c>
    </row>
    <row r="300" ht="30" customHeight="1">
      <c r="A300" s="6">
        <v>5597859</v>
      </c>
      <c r="C300" s="7" t="s">
        <v>51</v>
      </c>
      <c r="D300" s="7" t="s">
        <v>567</v>
      </c>
      <c r="E300" s="6">
        <v>0.035</v>
      </c>
      <c r="G300" s="8">
        <v>40.8</v>
      </c>
      <c r="H300" s="9">
        <v>46620</v>
      </c>
      <c r="I300" s="10">
        <f t="shared" si="0"/>
        <v>23.31</v>
      </c>
      <c r="J300" s="10">
        <f t="shared" si="1"/>
        <v>466.2</v>
      </c>
      <c r="K300" s="7" t="s">
        <v>90</v>
      </c>
      <c r="T300" s="7" t="s">
        <v>575</v>
      </c>
      <c r="U300" s="7" t="s">
        <v>545</v>
      </c>
      <c r="V300" s="7" t="s">
        <v>355</v>
      </c>
      <c r="W300" s="7" t="s">
        <v>591</v>
      </c>
      <c r="X300" s="7" t="s">
        <v>592</v>
      </c>
      <c r="Y300" s="7" t="s">
        <v>547</v>
      </c>
      <c r="AA300" s="7">
        <v>0.05</v>
      </c>
      <c r="AB300" s="7">
        <v>0.18</v>
      </c>
      <c r="AC300" s="7">
        <v>0.01</v>
      </c>
      <c r="AD300" s="7">
        <v>0.002</v>
      </c>
      <c r="AE300" s="7">
        <v>0.029</v>
      </c>
      <c r="AF300" s="7">
        <v>0.09</v>
      </c>
      <c r="AG300" s="7">
        <v>0.03</v>
      </c>
      <c r="AH300" s="7">
        <v>0.04</v>
      </c>
      <c r="AI300" s="7">
        <v>0.02</v>
      </c>
      <c r="AJ300" s="7">
        <v>0.003</v>
      </c>
      <c r="AK300" s="7">
        <v>0.03</v>
      </c>
      <c r="AL300" s="7">
        <v>0.003</v>
      </c>
      <c r="AM300" s="7">
        <v>0.001</v>
      </c>
      <c r="AN300" s="7">
        <v>0.001</v>
      </c>
      <c r="AO300" s="7">
        <v>0.0001</v>
      </c>
      <c r="AP300" s="7">
        <v>0.0053</v>
      </c>
      <c r="AQ300" s="7">
        <v>0.0021</v>
      </c>
    </row>
    <row r="301" ht="30" customHeight="1">
      <c r="A301" s="6">
        <v>5556031.902</v>
      </c>
      <c r="C301" s="7" t="s">
        <v>51</v>
      </c>
      <c r="D301" s="7" t="s">
        <v>567</v>
      </c>
      <c r="E301" s="6">
        <v>0.035</v>
      </c>
      <c r="F301" s="7" t="s">
        <v>45</v>
      </c>
      <c r="G301" s="8">
        <v>42.06</v>
      </c>
      <c r="H301" s="9">
        <v>11580</v>
      </c>
      <c r="I301" s="10">
        <f t="shared" si="0"/>
        <v>5.79</v>
      </c>
      <c r="J301" s="10">
        <f t="shared" si="1"/>
        <v>115.8</v>
      </c>
      <c r="K301" s="7" t="s">
        <v>121</v>
      </c>
      <c r="P301" s="7">
        <v>57.4</v>
      </c>
      <c r="Q301" s="7">
        <v>89.2</v>
      </c>
      <c r="R301" s="7">
        <v>23.1</v>
      </c>
      <c r="S301" s="7">
        <v>86</v>
      </c>
      <c r="T301" s="7" t="s">
        <v>568</v>
      </c>
      <c r="U301" s="7" t="s">
        <v>498</v>
      </c>
      <c r="V301" s="7" t="s">
        <v>355</v>
      </c>
      <c r="W301" s="7" t="s">
        <v>593</v>
      </c>
      <c r="X301" s="7" t="s">
        <v>324</v>
      </c>
      <c r="Y301" s="7" t="s">
        <v>115</v>
      </c>
      <c r="AA301" s="7">
        <v>0.07</v>
      </c>
      <c r="AB301" s="7">
        <v>1.5</v>
      </c>
      <c r="AC301" s="7">
        <v>0.013</v>
      </c>
      <c r="AD301" s="7">
        <v>0.001</v>
      </c>
      <c r="AE301" s="7">
        <v>0.23</v>
      </c>
      <c r="AF301" s="7">
        <v>0.12</v>
      </c>
      <c r="AG301" s="7">
        <v>0.03</v>
      </c>
      <c r="AH301" s="7">
        <v>0.59</v>
      </c>
      <c r="AI301" s="7">
        <v>0.01</v>
      </c>
      <c r="AJ301" s="7">
        <v>0.004</v>
      </c>
      <c r="AK301" s="7">
        <v>0.035</v>
      </c>
      <c r="AL301" s="7">
        <v>0.007</v>
      </c>
      <c r="AM301" s="7">
        <v>0.01</v>
      </c>
      <c r="AN301" s="7">
        <v>0.009</v>
      </c>
      <c r="AO301" s="7">
        <v>0.0001</v>
      </c>
      <c r="AP301" s="7">
        <v>0.0061</v>
      </c>
      <c r="AQ301" s="7">
        <v>0.0011</v>
      </c>
    </row>
    <row r="302" ht="30" customHeight="1">
      <c r="A302" s="6">
        <v>5651075</v>
      </c>
      <c r="C302" s="7" t="s">
        <v>51</v>
      </c>
      <c r="D302" s="7" t="s">
        <v>567</v>
      </c>
      <c r="E302" s="6">
        <v>0.035</v>
      </c>
      <c r="G302" s="8">
        <v>47.91</v>
      </c>
      <c r="H302" s="9">
        <v>37220</v>
      </c>
      <c r="I302" s="10">
        <f t="shared" si="0"/>
        <v>18.61</v>
      </c>
      <c r="J302" s="10">
        <f t="shared" si="1"/>
        <v>372.2</v>
      </c>
      <c r="K302" s="7" t="s">
        <v>90</v>
      </c>
      <c r="T302" s="7" t="s">
        <v>594</v>
      </c>
      <c r="U302" s="7" t="s">
        <v>513</v>
      </c>
      <c r="V302" s="7" t="s">
        <v>355</v>
      </c>
      <c r="W302" s="7" t="s">
        <v>595</v>
      </c>
      <c r="X302" s="7" t="s">
        <v>596</v>
      </c>
      <c r="Y302" s="7" t="s">
        <v>597</v>
      </c>
      <c r="Z302" s="7" t="s">
        <v>598</v>
      </c>
      <c r="AA302" s="7">
        <v>0.05</v>
      </c>
      <c r="AB302" s="7">
        <v>0.19</v>
      </c>
      <c r="AC302" s="7">
        <v>0.012</v>
      </c>
      <c r="AD302" s="7">
        <v>0.003</v>
      </c>
      <c r="AE302" s="7">
        <v>0.024</v>
      </c>
      <c r="AF302" s="7">
        <v>0.13</v>
      </c>
      <c r="AG302" s="7">
        <v>0.03</v>
      </c>
      <c r="AH302" s="7">
        <v>0.06</v>
      </c>
      <c r="AI302" s="7">
        <v>0.01</v>
      </c>
      <c r="AJ302" s="7">
        <v>0.004</v>
      </c>
      <c r="AK302" s="7">
        <v>0.029</v>
      </c>
      <c r="AL302" s="7">
        <v>0.002</v>
      </c>
      <c r="AM302" s="7">
        <v>0.001</v>
      </c>
      <c r="AN302" s="7">
        <v>0.001</v>
      </c>
      <c r="AO302" s="7">
        <v>0.0002</v>
      </c>
      <c r="AP302" s="7">
        <v>0.0045</v>
      </c>
      <c r="AQ302" s="7">
        <v>0.0019</v>
      </c>
    </row>
    <row r="303" ht="30" customHeight="1">
      <c r="A303" s="6">
        <v>5585619</v>
      </c>
      <c r="C303" s="7" t="s">
        <v>51</v>
      </c>
      <c r="D303" s="7" t="s">
        <v>567</v>
      </c>
      <c r="E303" s="6">
        <v>0.035</v>
      </c>
      <c r="G303" s="8">
        <v>48.6</v>
      </c>
      <c r="H303" s="9">
        <v>46000</v>
      </c>
      <c r="I303" s="10">
        <f t="shared" si="0"/>
        <v>23</v>
      </c>
      <c r="J303" s="10">
        <f t="shared" si="1"/>
        <v>460</v>
      </c>
      <c r="K303" s="7" t="s">
        <v>167</v>
      </c>
      <c r="T303" s="7" t="s">
        <v>575</v>
      </c>
      <c r="U303" s="7" t="s">
        <v>545</v>
      </c>
      <c r="V303" s="7" t="s">
        <v>355</v>
      </c>
      <c r="W303" s="7" t="s">
        <v>599</v>
      </c>
      <c r="X303" s="7" t="s">
        <v>600</v>
      </c>
      <c r="Y303" s="7" t="s">
        <v>504</v>
      </c>
      <c r="AA303" s="7">
        <v>0.03</v>
      </c>
      <c r="AB303" s="7">
        <v>0.27</v>
      </c>
      <c r="AC303" s="7">
        <v>0.009</v>
      </c>
      <c r="AD303" s="7">
        <v>0.002</v>
      </c>
      <c r="AE303" s="7">
        <v>0.027</v>
      </c>
      <c r="AF303" s="7">
        <v>0.1</v>
      </c>
      <c r="AG303" s="7">
        <v>0.03</v>
      </c>
      <c r="AH303" s="7">
        <v>0.05</v>
      </c>
      <c r="AI303" s="7">
        <v>0.01</v>
      </c>
      <c r="AJ303" s="7">
        <v>0.003</v>
      </c>
      <c r="AK303" s="7">
        <v>0.025</v>
      </c>
      <c r="AL303" s="7">
        <v>0.004</v>
      </c>
      <c r="AM303" s="7">
        <v>0</v>
      </c>
      <c r="AN303" s="7">
        <v>0</v>
      </c>
      <c r="AO303" s="7">
        <v>0.005</v>
      </c>
      <c r="AP303" s="7">
        <v>0.0056</v>
      </c>
      <c r="AQ303" s="7">
        <v>0.0021</v>
      </c>
    </row>
    <row r="304" ht="30" customHeight="1">
      <c r="A304" s="6">
        <v>5578956</v>
      </c>
      <c r="C304" s="7" t="s">
        <v>51</v>
      </c>
      <c r="D304" s="7" t="s">
        <v>567</v>
      </c>
      <c r="E304" s="6">
        <v>0.035</v>
      </c>
      <c r="G304" s="8">
        <v>53.06</v>
      </c>
      <c r="H304" s="9">
        <v>46720</v>
      </c>
      <c r="I304" s="10">
        <f t="shared" si="0"/>
        <v>23.36</v>
      </c>
      <c r="J304" s="10">
        <f t="shared" si="1"/>
        <v>467.2</v>
      </c>
      <c r="K304" s="7" t="s">
        <v>64</v>
      </c>
      <c r="T304" s="7" t="s">
        <v>594</v>
      </c>
      <c r="U304" s="7" t="s">
        <v>513</v>
      </c>
      <c r="V304" s="7" t="s">
        <v>355</v>
      </c>
      <c r="W304" s="7" t="s">
        <v>601</v>
      </c>
      <c r="X304" s="7" t="s">
        <v>596</v>
      </c>
      <c r="Y304" s="7" t="s">
        <v>597</v>
      </c>
      <c r="AA304" s="7">
        <v>0.06</v>
      </c>
      <c r="AB304" s="7">
        <v>0.4</v>
      </c>
      <c r="AC304" s="7">
        <v>0.007</v>
      </c>
      <c r="AD304" s="7">
        <v>0.002</v>
      </c>
      <c r="AE304" s="7">
        <v>0.028</v>
      </c>
      <c r="AF304" s="7">
        <v>0.13</v>
      </c>
      <c r="AG304" s="7">
        <v>0.03</v>
      </c>
      <c r="AH304" s="7">
        <v>0.05</v>
      </c>
      <c r="AI304" s="7">
        <v>0.01</v>
      </c>
      <c r="AJ304" s="7">
        <v>0.004</v>
      </c>
      <c r="AK304" s="7">
        <v>0.038</v>
      </c>
      <c r="AL304" s="7">
        <v>0.002</v>
      </c>
      <c r="AM304" s="7">
        <v>0.001</v>
      </c>
      <c r="AN304" s="7">
        <v>0.001</v>
      </c>
      <c r="AO304" s="7">
        <v>0.0001</v>
      </c>
      <c r="AP304" s="7">
        <v>0.0049</v>
      </c>
      <c r="AQ304" s="7">
        <v>0.0014</v>
      </c>
    </row>
    <row r="305" ht="30" customHeight="1">
      <c r="A305" s="6">
        <v>5631802.901</v>
      </c>
      <c r="C305" s="7" t="s">
        <v>51</v>
      </c>
      <c r="D305" s="7" t="s">
        <v>567</v>
      </c>
      <c r="E305" s="6">
        <v>0.035</v>
      </c>
      <c r="F305" s="7" t="s">
        <v>63</v>
      </c>
      <c r="G305" s="8">
        <v>60.13</v>
      </c>
      <c r="H305" s="9">
        <v>23040</v>
      </c>
      <c r="I305" s="10">
        <f t="shared" si="0"/>
        <v>11.52</v>
      </c>
      <c r="J305" s="10">
        <f t="shared" si="1"/>
        <v>230.4</v>
      </c>
      <c r="K305" s="7" t="s">
        <v>64</v>
      </c>
      <c r="P305" s="7">
        <v>49.3</v>
      </c>
      <c r="Q305" s="7">
        <v>60.3</v>
      </c>
      <c r="R305" s="7">
        <v>34.8</v>
      </c>
      <c r="S305" s="7">
        <v>65</v>
      </c>
      <c r="T305" s="7" t="s">
        <v>602</v>
      </c>
      <c r="U305" s="7" t="s">
        <v>569</v>
      </c>
      <c r="V305" s="7" t="s">
        <v>47</v>
      </c>
      <c r="W305" s="7" t="s">
        <v>603</v>
      </c>
      <c r="X305" s="7" t="s">
        <v>403</v>
      </c>
      <c r="AA305" s="7">
        <v>0.06</v>
      </c>
      <c r="AB305" s="7">
        <v>0.39</v>
      </c>
      <c r="AC305" s="7">
        <v>0.009</v>
      </c>
      <c r="AD305" s="7">
        <v>0.002</v>
      </c>
      <c r="AE305" s="7">
        <v>0.023</v>
      </c>
      <c r="AF305" s="7">
        <v>0.11</v>
      </c>
      <c r="AG305" s="7">
        <v>0.03</v>
      </c>
      <c r="AH305" s="7">
        <v>0.07</v>
      </c>
      <c r="AI305" s="7">
        <v>0.01</v>
      </c>
      <c r="AJ305" s="7">
        <v>0.002</v>
      </c>
      <c r="AK305" s="7">
        <v>0.036</v>
      </c>
      <c r="AL305" s="7">
        <v>0.002</v>
      </c>
      <c r="AM305" s="7">
        <v>0</v>
      </c>
      <c r="AN305" s="7">
        <v>0.003</v>
      </c>
      <c r="AO305" s="7">
        <v>0.0001</v>
      </c>
      <c r="AP305" s="7">
        <v>0.0057</v>
      </c>
      <c r="AQ305" s="7">
        <v>0.0019</v>
      </c>
    </row>
    <row r="306" ht="30" customHeight="1">
      <c r="A306" s="6">
        <v>5667881.902</v>
      </c>
      <c r="C306" s="7" t="s">
        <v>43</v>
      </c>
      <c r="D306" s="7" t="s">
        <v>567</v>
      </c>
      <c r="E306" s="6">
        <v>0.036</v>
      </c>
      <c r="F306" s="7" t="s">
        <v>63</v>
      </c>
      <c r="G306" s="8">
        <v>42</v>
      </c>
      <c r="H306" s="9">
        <v>23620</v>
      </c>
      <c r="I306" s="10">
        <f t="shared" si="0"/>
        <v>11.81</v>
      </c>
      <c r="J306" s="10">
        <f t="shared" si="1"/>
        <v>236.2</v>
      </c>
      <c r="K306" s="7" t="s">
        <v>90</v>
      </c>
      <c r="P306" s="7">
        <v>96.1</v>
      </c>
      <c r="Q306" s="7">
        <v>100.2</v>
      </c>
      <c r="R306" s="7">
        <v>11.3</v>
      </c>
      <c r="S306" s="7">
        <v>90</v>
      </c>
      <c r="T306" s="7" t="s">
        <v>604</v>
      </c>
      <c r="U306" s="7" t="s">
        <v>605</v>
      </c>
      <c r="V306" s="7" t="s">
        <v>355</v>
      </c>
      <c r="W306" s="7" t="s">
        <v>517</v>
      </c>
      <c r="X306" s="7" t="s">
        <v>385</v>
      </c>
      <c r="AA306" s="7">
        <v>0.05</v>
      </c>
      <c r="AB306" s="7">
        <v>0.19</v>
      </c>
      <c r="AC306" s="7">
        <v>0.012</v>
      </c>
      <c r="AD306" s="7">
        <v>0.002</v>
      </c>
      <c r="AE306" s="7">
        <v>0.022</v>
      </c>
      <c r="AF306" s="7">
        <v>0.13</v>
      </c>
      <c r="AG306" s="7">
        <v>0.03</v>
      </c>
      <c r="AH306" s="7">
        <v>0.06</v>
      </c>
      <c r="AI306" s="7">
        <v>0.01</v>
      </c>
      <c r="AJ306" s="7">
        <v>0.003</v>
      </c>
      <c r="AK306" s="7">
        <v>0.027</v>
      </c>
      <c r="AL306" s="7">
        <v>0.002</v>
      </c>
      <c r="AM306" s="7">
        <v>0.001</v>
      </c>
      <c r="AN306" s="7">
        <v>0.001</v>
      </c>
      <c r="AO306" s="7">
        <v>0.0001</v>
      </c>
      <c r="AP306" s="7">
        <v>0.0045</v>
      </c>
      <c r="AQ306" s="7">
        <v>0.0021</v>
      </c>
    </row>
    <row r="307" ht="30" customHeight="1">
      <c r="A307" s="6">
        <v>5667881.903</v>
      </c>
      <c r="C307" s="7" t="s">
        <v>43</v>
      </c>
      <c r="D307" s="7" t="s">
        <v>567</v>
      </c>
      <c r="E307" s="6">
        <v>0.036</v>
      </c>
      <c r="F307" s="7" t="s">
        <v>63</v>
      </c>
      <c r="G307" s="8">
        <v>42.06</v>
      </c>
      <c r="H307" s="9">
        <v>16400</v>
      </c>
      <c r="I307" s="10">
        <f t="shared" si="0"/>
        <v>8.2</v>
      </c>
      <c r="J307" s="10">
        <f t="shared" si="1"/>
        <v>164</v>
      </c>
      <c r="K307" s="7" t="s">
        <v>90</v>
      </c>
      <c r="P307" s="7">
        <v>96.1</v>
      </c>
      <c r="Q307" s="7">
        <v>100.2</v>
      </c>
      <c r="R307" s="7">
        <v>11.3</v>
      </c>
      <c r="S307" s="7">
        <v>90</v>
      </c>
      <c r="T307" s="7" t="s">
        <v>606</v>
      </c>
      <c r="U307" s="7" t="s">
        <v>493</v>
      </c>
      <c r="V307" s="7" t="s">
        <v>355</v>
      </c>
      <c r="W307" s="7" t="s">
        <v>607</v>
      </c>
      <c r="X307" s="7" t="s">
        <v>215</v>
      </c>
      <c r="Y307" s="7" t="s">
        <v>608</v>
      </c>
      <c r="AA307" s="7">
        <v>0.05</v>
      </c>
      <c r="AB307" s="7">
        <v>0.19</v>
      </c>
      <c r="AC307" s="7">
        <v>0.012</v>
      </c>
      <c r="AD307" s="7">
        <v>0.002</v>
      </c>
      <c r="AE307" s="7">
        <v>0.022</v>
      </c>
      <c r="AF307" s="7">
        <v>0.13</v>
      </c>
      <c r="AG307" s="7">
        <v>0.03</v>
      </c>
      <c r="AH307" s="7">
        <v>0.06</v>
      </c>
      <c r="AI307" s="7">
        <v>0.01</v>
      </c>
      <c r="AJ307" s="7">
        <v>0.003</v>
      </c>
      <c r="AK307" s="7">
        <v>0.027</v>
      </c>
      <c r="AL307" s="7">
        <v>0.002</v>
      </c>
      <c r="AM307" s="7">
        <v>0.001</v>
      </c>
      <c r="AN307" s="7">
        <v>0.001</v>
      </c>
      <c r="AO307" s="7">
        <v>0.0001</v>
      </c>
      <c r="AP307" s="7">
        <v>0.0045</v>
      </c>
      <c r="AQ307" s="7">
        <v>0.0021</v>
      </c>
    </row>
    <row r="308" ht="30" customHeight="1">
      <c r="A308" s="6">
        <v>5448374</v>
      </c>
      <c r="C308" s="7" t="s">
        <v>51</v>
      </c>
      <c r="D308" s="7" t="s">
        <v>567</v>
      </c>
      <c r="E308" s="6">
        <v>0.036</v>
      </c>
      <c r="G308" s="8">
        <v>46</v>
      </c>
      <c r="H308" s="9">
        <v>33040</v>
      </c>
      <c r="I308" s="10">
        <f t="shared" si="0"/>
        <v>16.52</v>
      </c>
      <c r="J308" s="10">
        <f t="shared" si="1"/>
        <v>330.4</v>
      </c>
      <c r="K308" s="7" t="s">
        <v>90</v>
      </c>
      <c r="T308" s="7" t="s">
        <v>572</v>
      </c>
      <c r="U308" s="7" t="s">
        <v>498</v>
      </c>
      <c r="V308" s="7" t="s">
        <v>355</v>
      </c>
      <c r="W308" s="7" t="s">
        <v>514</v>
      </c>
      <c r="X308" s="7" t="s">
        <v>609</v>
      </c>
      <c r="AA308" s="7">
        <v>0.03</v>
      </c>
      <c r="AB308" s="7">
        <v>0.15</v>
      </c>
      <c r="AC308" s="7">
        <v>0.009</v>
      </c>
      <c r="AD308" s="7">
        <v>0.004</v>
      </c>
      <c r="AE308" s="7">
        <v>0.027</v>
      </c>
      <c r="AF308" s="7">
        <v>0.12</v>
      </c>
      <c r="AG308" s="7">
        <v>0.03</v>
      </c>
      <c r="AH308" s="7">
        <v>0.04</v>
      </c>
      <c r="AI308" s="7">
        <v>0.01</v>
      </c>
      <c r="AJ308" s="7">
        <v>0.005</v>
      </c>
      <c r="AK308" s="7">
        <v>0.024</v>
      </c>
      <c r="AL308" s="7">
        <v>0</v>
      </c>
      <c r="AM308" s="7">
        <v>0.001</v>
      </c>
      <c r="AN308" s="7">
        <v>0</v>
      </c>
      <c r="AO308" s="7">
        <v>0.0002</v>
      </c>
      <c r="AP308" s="7">
        <v>0.0047</v>
      </c>
      <c r="AQ308" s="7">
        <v>0.0026</v>
      </c>
    </row>
    <row r="309" ht="15" customHeight="1">
      <c r="A309" s="6">
        <v>5680315.901</v>
      </c>
      <c r="C309" s="7" t="s">
        <v>51</v>
      </c>
      <c r="D309" s="7" t="s">
        <v>567</v>
      </c>
      <c r="E309" s="6">
        <v>0.036</v>
      </c>
      <c r="F309" s="7" t="s">
        <v>63</v>
      </c>
      <c r="G309" s="8">
        <v>46.06</v>
      </c>
      <c r="H309" s="9">
        <v>27640</v>
      </c>
      <c r="I309" s="10">
        <f t="shared" si="0"/>
        <v>13.82</v>
      </c>
      <c r="J309" s="10">
        <f t="shared" si="1"/>
        <v>276.4</v>
      </c>
      <c r="K309" s="7" t="s">
        <v>588</v>
      </c>
      <c r="P309" s="7">
        <v>60.6</v>
      </c>
      <c r="Q309" s="7">
        <v>79</v>
      </c>
      <c r="R309" s="7">
        <v>25.6</v>
      </c>
      <c r="S309" s="7">
        <v>78</v>
      </c>
      <c r="T309" s="7" t="s">
        <v>610</v>
      </c>
      <c r="U309" s="7" t="s">
        <v>611</v>
      </c>
      <c r="V309" s="7" t="s">
        <v>355</v>
      </c>
      <c r="W309" s="7" t="s">
        <v>612</v>
      </c>
      <c r="Z309" s="7" t="s">
        <v>571</v>
      </c>
      <c r="AA309" s="7">
        <v>0.2</v>
      </c>
      <c r="AB309" s="7">
        <v>0.4</v>
      </c>
      <c r="AC309" s="7">
        <v>0.009</v>
      </c>
      <c r="AD309" s="7">
        <v>0.002</v>
      </c>
      <c r="AE309" s="7">
        <v>0.022</v>
      </c>
      <c r="AF309" s="7">
        <v>0.11</v>
      </c>
      <c r="AG309" s="7">
        <v>0.03</v>
      </c>
      <c r="AH309" s="7">
        <v>0.04</v>
      </c>
      <c r="AI309" s="7">
        <v>0.01</v>
      </c>
      <c r="AJ309" s="7">
        <v>0.004</v>
      </c>
      <c r="AK309" s="7">
        <v>0.031</v>
      </c>
      <c r="AL309" s="7">
        <v>0.002</v>
      </c>
      <c r="AM309" s="7">
        <v>0.001</v>
      </c>
      <c r="AN309" s="7">
        <v>0.001</v>
      </c>
      <c r="AO309" s="7">
        <v>0.0001</v>
      </c>
      <c r="AP309" s="7">
        <v>0.006</v>
      </c>
      <c r="AQ309" s="7">
        <v>0.0018</v>
      </c>
    </row>
    <row r="310" ht="30" customHeight="1">
      <c r="A310" s="6">
        <v>5649348</v>
      </c>
      <c r="C310" s="7" t="s">
        <v>43</v>
      </c>
      <c r="D310" s="7" t="s">
        <v>567</v>
      </c>
      <c r="E310" s="6">
        <v>0.036</v>
      </c>
      <c r="F310" s="7" t="s">
        <v>63</v>
      </c>
      <c r="G310" s="8">
        <v>46.06</v>
      </c>
      <c r="H310" s="9">
        <v>31040</v>
      </c>
      <c r="I310" s="10">
        <f t="shared" si="0"/>
        <v>15.52</v>
      </c>
      <c r="J310" s="10">
        <f t="shared" si="1"/>
        <v>310.4</v>
      </c>
      <c r="K310" s="7" t="s">
        <v>588</v>
      </c>
      <c r="P310" s="7">
        <v>49.7</v>
      </c>
      <c r="Q310" s="7">
        <v>70.1</v>
      </c>
      <c r="R310" s="7">
        <v>28.3</v>
      </c>
      <c r="T310" s="7" t="s">
        <v>613</v>
      </c>
      <c r="U310" s="7" t="s">
        <v>605</v>
      </c>
      <c r="V310" s="7" t="s">
        <v>355</v>
      </c>
      <c r="W310" s="7" t="s">
        <v>538</v>
      </c>
      <c r="X310" s="7" t="s">
        <v>91</v>
      </c>
      <c r="Y310" s="7" t="s">
        <v>115</v>
      </c>
      <c r="AA310" s="7">
        <v>0.2</v>
      </c>
      <c r="AB310" s="7">
        <v>0.39</v>
      </c>
      <c r="AC310" s="7">
        <v>0.009</v>
      </c>
      <c r="AD310" s="7">
        <v>0.003</v>
      </c>
      <c r="AE310" s="7">
        <v>0.023</v>
      </c>
      <c r="AF310" s="7">
        <v>0.11</v>
      </c>
      <c r="AG310" s="7">
        <v>0.03</v>
      </c>
      <c r="AH310" s="7">
        <v>0.05</v>
      </c>
      <c r="AI310" s="7">
        <v>0.01</v>
      </c>
      <c r="AJ310" s="7">
        <v>0.003</v>
      </c>
      <c r="AK310" s="7">
        <v>0.028</v>
      </c>
      <c r="AL310" s="7">
        <v>0.001</v>
      </c>
      <c r="AM310" s="7">
        <v>0.001</v>
      </c>
      <c r="AN310" s="7">
        <v>0.001</v>
      </c>
      <c r="AO310" s="7">
        <v>0.0001</v>
      </c>
      <c r="AP310" s="7">
        <v>0.0062</v>
      </c>
      <c r="AQ310" s="7">
        <v>0.0014</v>
      </c>
    </row>
    <row r="311" ht="15" customHeight="1">
      <c r="A311" s="6">
        <v>5672860.902</v>
      </c>
      <c r="C311" s="7" t="s">
        <v>51</v>
      </c>
      <c r="D311" s="7" t="s">
        <v>567</v>
      </c>
      <c r="E311" s="6">
        <v>0.036</v>
      </c>
      <c r="F311" s="7" t="s">
        <v>63</v>
      </c>
      <c r="G311" s="8">
        <v>48.13</v>
      </c>
      <c r="H311" s="9">
        <v>23580</v>
      </c>
      <c r="I311" s="10">
        <f t="shared" si="0"/>
        <v>11.79</v>
      </c>
      <c r="J311" s="10">
        <f t="shared" si="1"/>
        <v>235.8</v>
      </c>
      <c r="K311" s="7" t="s">
        <v>90</v>
      </c>
      <c r="S311" s="7">
        <v>60</v>
      </c>
      <c r="T311" s="7" t="s">
        <v>614</v>
      </c>
      <c r="U311" s="7" t="s">
        <v>498</v>
      </c>
      <c r="V311" s="7" t="s">
        <v>355</v>
      </c>
      <c r="W311" s="7" t="s">
        <v>615</v>
      </c>
      <c r="Z311" s="7" t="s">
        <v>616</v>
      </c>
      <c r="AA311" s="7">
        <v>0.04</v>
      </c>
      <c r="AB311" s="7">
        <v>0.18</v>
      </c>
      <c r="AC311" s="7">
        <v>0.01</v>
      </c>
      <c r="AD311" s="7">
        <v>0.003</v>
      </c>
      <c r="AE311" s="7">
        <v>0.024</v>
      </c>
      <c r="AF311" s="7">
        <v>0.12</v>
      </c>
      <c r="AG311" s="7">
        <v>0.03</v>
      </c>
      <c r="AH311" s="7">
        <v>0.05</v>
      </c>
      <c r="AI311" s="7">
        <v>0.01</v>
      </c>
      <c r="AJ311" s="7">
        <v>0.005</v>
      </c>
      <c r="AK311" s="7">
        <v>0.032</v>
      </c>
      <c r="AL311" s="7">
        <v>0.001</v>
      </c>
      <c r="AM311" s="7">
        <v>0.001</v>
      </c>
      <c r="AN311" s="7">
        <v>0.001</v>
      </c>
      <c r="AO311" s="7">
        <v>0.0006</v>
      </c>
      <c r="AP311" s="7">
        <v>0.0053</v>
      </c>
      <c r="AQ311" s="7">
        <v>0.0019</v>
      </c>
    </row>
    <row r="312" ht="15" customHeight="1">
      <c r="A312" s="6">
        <v>5673296</v>
      </c>
      <c r="C312" s="7" t="s">
        <v>43</v>
      </c>
      <c r="D312" s="7" t="s">
        <v>567</v>
      </c>
      <c r="E312" s="6">
        <v>0.036</v>
      </c>
      <c r="F312" s="7" t="s">
        <v>63</v>
      </c>
      <c r="G312" s="8">
        <v>48.81</v>
      </c>
      <c r="H312" s="9">
        <v>46740</v>
      </c>
      <c r="I312" s="10">
        <f t="shared" si="0"/>
        <v>23.37</v>
      </c>
      <c r="J312" s="10">
        <f t="shared" si="1"/>
        <v>467.4</v>
      </c>
      <c r="K312" s="7" t="s">
        <v>167</v>
      </c>
      <c r="P312" s="7">
        <v>86.4</v>
      </c>
      <c r="Q312" s="7">
        <v>91.9</v>
      </c>
      <c r="R312" s="7">
        <v>13.4</v>
      </c>
      <c r="S312" s="7">
        <v>91</v>
      </c>
      <c r="T312" s="7" t="s">
        <v>617</v>
      </c>
      <c r="U312" s="7" t="s">
        <v>584</v>
      </c>
      <c r="V312" s="7" t="s">
        <v>47</v>
      </c>
      <c r="W312" s="7" t="s">
        <v>585</v>
      </c>
      <c r="X312" s="7" t="s">
        <v>618</v>
      </c>
      <c r="Y312" s="7" t="s">
        <v>619</v>
      </c>
      <c r="Z312" s="7" t="s">
        <v>620</v>
      </c>
      <c r="AA312" s="7">
        <v>0.03</v>
      </c>
      <c r="AB312" s="7">
        <v>0.23</v>
      </c>
      <c r="AC312" s="7">
        <v>0.011</v>
      </c>
      <c r="AD312" s="7">
        <v>0.003</v>
      </c>
      <c r="AE312" s="7">
        <v>0.023</v>
      </c>
      <c r="AF312" s="7">
        <v>0.1</v>
      </c>
      <c r="AG312" s="7">
        <v>0.03</v>
      </c>
      <c r="AH312" s="7">
        <v>0.06</v>
      </c>
      <c r="AI312" s="7">
        <v>0.01</v>
      </c>
      <c r="AJ312" s="7">
        <v>0.002</v>
      </c>
      <c r="AK312" s="7">
        <v>0.035</v>
      </c>
      <c r="AL312" s="7">
        <v>0.001</v>
      </c>
      <c r="AM312" s="7">
        <v>0.001</v>
      </c>
      <c r="AN312" s="7">
        <v>0.001</v>
      </c>
      <c r="AO312" s="7">
        <v>0.006</v>
      </c>
      <c r="AP312" s="7">
        <v>0.006</v>
      </c>
      <c r="AQ312" s="7">
        <v>0.0013</v>
      </c>
    </row>
    <row r="313" ht="30" customHeight="1">
      <c r="A313" s="6">
        <v>5640299</v>
      </c>
      <c r="C313" s="7" t="s">
        <v>43</v>
      </c>
      <c r="D313" s="7" t="s">
        <v>567</v>
      </c>
      <c r="E313" s="6">
        <v>0.036</v>
      </c>
      <c r="F313" s="7" t="s">
        <v>63</v>
      </c>
      <c r="G313" s="8">
        <v>48.81</v>
      </c>
      <c r="H313" s="9">
        <v>46900</v>
      </c>
      <c r="I313" s="10">
        <f t="shared" si="0"/>
        <v>23.45</v>
      </c>
      <c r="J313" s="10">
        <f t="shared" si="1"/>
        <v>469</v>
      </c>
      <c r="K313" s="7" t="s">
        <v>167</v>
      </c>
      <c r="P313" s="7">
        <v>71.6</v>
      </c>
      <c r="Q313" s="7">
        <v>76.8</v>
      </c>
      <c r="R313" s="7">
        <v>18.4</v>
      </c>
      <c r="S313" s="7">
        <v>87</v>
      </c>
      <c r="T313" s="7" t="s">
        <v>617</v>
      </c>
      <c r="U313" s="7" t="s">
        <v>584</v>
      </c>
      <c r="V313" s="7" t="s">
        <v>47</v>
      </c>
      <c r="W313" s="7" t="s">
        <v>621</v>
      </c>
      <c r="X313" s="7" t="s">
        <v>514</v>
      </c>
      <c r="Y313" s="7" t="s">
        <v>622</v>
      </c>
      <c r="AA313" s="7">
        <v>0.03</v>
      </c>
      <c r="AB313" s="7">
        <v>0.22</v>
      </c>
      <c r="AC313" s="7">
        <v>0.007</v>
      </c>
      <c r="AD313" s="7">
        <v>0.001</v>
      </c>
      <c r="AE313" s="7">
        <v>0.031</v>
      </c>
      <c r="AF313" s="7">
        <v>0.09</v>
      </c>
      <c r="AG313" s="7">
        <v>0.02</v>
      </c>
      <c r="AH313" s="7">
        <v>0.04</v>
      </c>
      <c r="AI313" s="7">
        <v>0.01</v>
      </c>
      <c r="AJ313" s="7">
        <v>0.002</v>
      </c>
      <c r="AK313" s="7">
        <v>0.034</v>
      </c>
      <c r="AL313" s="7">
        <v>0.001</v>
      </c>
      <c r="AM313" s="7">
        <v>0.001</v>
      </c>
      <c r="AN313" s="7">
        <v>0.002</v>
      </c>
      <c r="AO313" s="7">
        <v>0.0065</v>
      </c>
      <c r="AP313" s="7">
        <v>0.0045</v>
      </c>
      <c r="AQ313" s="7">
        <v>0.0011</v>
      </c>
    </row>
    <row r="314" ht="30" customHeight="1">
      <c r="A314" s="6">
        <v>5640300</v>
      </c>
      <c r="C314" s="7" t="s">
        <v>43</v>
      </c>
      <c r="D314" s="7" t="s">
        <v>567</v>
      </c>
      <c r="E314" s="6">
        <v>0.036</v>
      </c>
      <c r="F314" s="7" t="s">
        <v>63</v>
      </c>
      <c r="G314" s="8">
        <v>48.81</v>
      </c>
      <c r="H314" s="9">
        <v>46920</v>
      </c>
      <c r="I314" s="10">
        <f t="shared" si="0"/>
        <v>23.46</v>
      </c>
      <c r="J314" s="10">
        <f t="shared" si="1"/>
        <v>469.2</v>
      </c>
      <c r="K314" s="7" t="s">
        <v>167</v>
      </c>
      <c r="P314" s="7">
        <v>72.4</v>
      </c>
      <c r="Q314" s="7">
        <v>76.9</v>
      </c>
      <c r="R314" s="7">
        <v>19.6</v>
      </c>
      <c r="S314" s="7">
        <v>87</v>
      </c>
      <c r="T314" s="7" t="s">
        <v>617</v>
      </c>
      <c r="U314" s="7" t="s">
        <v>584</v>
      </c>
      <c r="V314" s="7" t="s">
        <v>47</v>
      </c>
      <c r="W314" s="7" t="s">
        <v>621</v>
      </c>
      <c r="X314" s="7" t="s">
        <v>514</v>
      </c>
      <c r="Y314" s="7" t="s">
        <v>622</v>
      </c>
      <c r="AA314" s="7">
        <v>0.03</v>
      </c>
      <c r="AB314" s="7">
        <v>0.24</v>
      </c>
      <c r="AC314" s="7">
        <v>0.009</v>
      </c>
      <c r="AD314" s="7">
        <v>0.001</v>
      </c>
      <c r="AE314" s="7">
        <v>0.027</v>
      </c>
      <c r="AF314" s="7">
        <v>0.11</v>
      </c>
      <c r="AG314" s="7">
        <v>0.03</v>
      </c>
      <c r="AH314" s="7">
        <v>0.05</v>
      </c>
      <c r="AI314" s="7">
        <v>0.01</v>
      </c>
      <c r="AJ314" s="7">
        <v>0.003</v>
      </c>
      <c r="AK314" s="7">
        <v>0.037</v>
      </c>
      <c r="AL314" s="7">
        <v>0.002</v>
      </c>
      <c r="AM314" s="7">
        <v>0.001</v>
      </c>
      <c r="AN314" s="7">
        <v>0.001</v>
      </c>
      <c r="AO314" s="7">
        <v>0.0057</v>
      </c>
      <c r="AP314" s="7">
        <v>0.0059</v>
      </c>
      <c r="AQ314" s="7">
        <v>0.0023</v>
      </c>
    </row>
    <row r="315" ht="30" customHeight="1">
      <c r="A315" s="6">
        <v>5673269</v>
      </c>
      <c r="C315" s="7" t="s">
        <v>51</v>
      </c>
      <c r="D315" s="7" t="s">
        <v>567</v>
      </c>
      <c r="E315" s="6">
        <v>0.036</v>
      </c>
      <c r="F315" s="7" t="s">
        <v>63</v>
      </c>
      <c r="G315" s="8">
        <v>48.81</v>
      </c>
      <c r="H315" s="9">
        <v>47240</v>
      </c>
      <c r="I315" s="10">
        <f t="shared" si="0"/>
        <v>23.62</v>
      </c>
      <c r="J315" s="10">
        <f t="shared" si="1"/>
        <v>472.4</v>
      </c>
      <c r="K315" s="7" t="s">
        <v>167</v>
      </c>
      <c r="P315" s="7">
        <v>87.2</v>
      </c>
      <c r="Q315" s="7">
        <v>91.2</v>
      </c>
      <c r="R315" s="7">
        <v>11.4</v>
      </c>
      <c r="S315" s="7">
        <v>89</v>
      </c>
      <c r="T315" s="7" t="s">
        <v>623</v>
      </c>
      <c r="U315" s="7" t="s">
        <v>569</v>
      </c>
      <c r="V315" s="7" t="s">
        <v>47</v>
      </c>
      <c r="W315" s="7" t="s">
        <v>570</v>
      </c>
      <c r="X315" s="7" t="s">
        <v>324</v>
      </c>
      <c r="Y315" s="7" t="s">
        <v>624</v>
      </c>
      <c r="Z315" s="7" t="s">
        <v>625</v>
      </c>
      <c r="AA315" s="7">
        <v>0.03</v>
      </c>
      <c r="AB315" s="7">
        <v>0.22</v>
      </c>
      <c r="AC315" s="7">
        <v>0.008</v>
      </c>
      <c r="AD315" s="7">
        <v>0.002</v>
      </c>
      <c r="AE315" s="7">
        <v>0.02</v>
      </c>
      <c r="AF315" s="7">
        <v>0.11</v>
      </c>
      <c r="AG315" s="7">
        <v>0.04</v>
      </c>
      <c r="AH315" s="7">
        <v>0.05</v>
      </c>
      <c r="AI315" s="7">
        <v>0.01</v>
      </c>
      <c r="AJ315" s="7">
        <v>0.002</v>
      </c>
      <c r="AK315" s="7">
        <v>0.024</v>
      </c>
      <c r="AL315" s="7">
        <v>0.001</v>
      </c>
      <c r="AM315" s="7">
        <v>0.001</v>
      </c>
      <c r="AN315" s="7">
        <v>0</v>
      </c>
      <c r="AO315" s="7">
        <v>0.0046</v>
      </c>
      <c r="AP315" s="7">
        <v>0.0069</v>
      </c>
      <c r="AQ315" s="7">
        <v>0.0011</v>
      </c>
    </row>
    <row r="316" ht="15" customHeight="1">
      <c r="A316" s="6">
        <v>5673357</v>
      </c>
      <c r="C316" s="7" t="s">
        <v>51</v>
      </c>
      <c r="D316" s="7" t="s">
        <v>567</v>
      </c>
      <c r="E316" s="6">
        <v>0.036</v>
      </c>
      <c r="F316" s="7" t="s">
        <v>63</v>
      </c>
      <c r="G316" s="8">
        <v>48.81</v>
      </c>
      <c r="H316" s="9">
        <v>47360</v>
      </c>
      <c r="I316" s="10">
        <f t="shared" si="0"/>
        <v>23.68</v>
      </c>
      <c r="J316" s="10">
        <f t="shared" si="1"/>
        <v>473.6</v>
      </c>
      <c r="K316" s="7" t="s">
        <v>167</v>
      </c>
      <c r="S316" s="7">
        <v>91</v>
      </c>
      <c r="T316" s="7" t="s">
        <v>626</v>
      </c>
      <c r="U316" s="7" t="s">
        <v>493</v>
      </c>
      <c r="V316" s="7" t="s">
        <v>47</v>
      </c>
      <c r="W316" s="7" t="s">
        <v>627</v>
      </c>
      <c r="X316" s="7" t="s">
        <v>628</v>
      </c>
      <c r="AA316" s="7">
        <v>0.03</v>
      </c>
      <c r="AB316" s="7">
        <v>0.22</v>
      </c>
      <c r="AC316" s="7">
        <v>0.009</v>
      </c>
      <c r="AD316" s="7">
        <v>0.003</v>
      </c>
      <c r="AE316" s="7">
        <v>0.019</v>
      </c>
      <c r="AF316" s="7">
        <v>0.13</v>
      </c>
      <c r="AG316" s="7">
        <v>0.03</v>
      </c>
      <c r="AH316" s="7">
        <v>0.05</v>
      </c>
      <c r="AI316" s="7">
        <v>0.01</v>
      </c>
      <c r="AJ316" s="7">
        <v>0.004</v>
      </c>
      <c r="AK316" s="7">
        <v>0.028</v>
      </c>
      <c r="AL316" s="7">
        <v>0.001</v>
      </c>
      <c r="AM316" s="7">
        <v>0.001</v>
      </c>
      <c r="AN316" s="7">
        <v>0.001</v>
      </c>
      <c r="AO316" s="7">
        <v>0.0045</v>
      </c>
      <c r="AP316" s="7">
        <v>0.0061</v>
      </c>
      <c r="AQ316" s="7">
        <v>0.0016</v>
      </c>
    </row>
    <row r="317" ht="30" customHeight="1">
      <c r="A317" s="6">
        <v>5625814</v>
      </c>
      <c r="C317" s="7" t="s">
        <v>43</v>
      </c>
      <c r="D317" s="7" t="s">
        <v>567</v>
      </c>
      <c r="E317" s="6">
        <v>0.039</v>
      </c>
      <c r="F317" s="7" t="s">
        <v>45</v>
      </c>
      <c r="G317" s="8">
        <v>56.19</v>
      </c>
      <c r="H317" s="9">
        <v>44720</v>
      </c>
      <c r="I317" s="10">
        <f t="shared" si="0"/>
        <v>22.36</v>
      </c>
      <c r="J317" s="10">
        <f t="shared" si="1"/>
        <v>447.2</v>
      </c>
      <c r="K317" s="7" t="s">
        <v>629</v>
      </c>
      <c r="P317" s="7">
        <v>76.1</v>
      </c>
      <c r="Q317" s="7">
        <v>85.4</v>
      </c>
      <c r="R317" s="7">
        <v>21.8</v>
      </c>
      <c r="S317" s="7">
        <v>87</v>
      </c>
      <c r="T317" s="7" t="s">
        <v>577</v>
      </c>
      <c r="U317" s="7" t="s">
        <v>498</v>
      </c>
      <c r="V317" s="7" t="s">
        <v>355</v>
      </c>
      <c r="Z317" s="7" t="s">
        <v>630</v>
      </c>
      <c r="AA317" s="7">
        <v>0.05</v>
      </c>
      <c r="AB317" s="7">
        <v>1.24</v>
      </c>
      <c r="AC317" s="7">
        <v>0.01</v>
      </c>
      <c r="AD317" s="7">
        <v>0.001</v>
      </c>
      <c r="AE317" s="7">
        <v>0.299</v>
      </c>
      <c r="AF317" s="7">
        <v>0.12</v>
      </c>
      <c r="AG317" s="7">
        <v>0.04</v>
      </c>
      <c r="AH317" s="7">
        <v>0.05</v>
      </c>
      <c r="AI317" s="7">
        <v>0.02</v>
      </c>
      <c r="AJ317" s="7">
        <v>0.003</v>
      </c>
      <c r="AK317" s="7">
        <v>0.025</v>
      </c>
      <c r="AL317" s="7">
        <v>0.005</v>
      </c>
      <c r="AM317" s="7">
        <v>0.035</v>
      </c>
      <c r="AN317" s="7">
        <v>0.002</v>
      </c>
      <c r="AO317" s="7">
        <v>0.0004</v>
      </c>
      <c r="AP317" s="7">
        <v>0.007</v>
      </c>
      <c r="AQ317" s="7">
        <v>0.0013</v>
      </c>
    </row>
    <row r="318" ht="45" customHeight="1">
      <c r="A318" s="6">
        <v>5615119.001</v>
      </c>
      <c r="C318" s="7" t="s">
        <v>43</v>
      </c>
      <c r="D318" s="7" t="s">
        <v>567</v>
      </c>
      <c r="E318" s="6">
        <v>0.039</v>
      </c>
      <c r="F318" s="7" t="s">
        <v>45</v>
      </c>
      <c r="G318" s="8">
        <v>56.88</v>
      </c>
      <c r="H318" s="9">
        <v>43500</v>
      </c>
      <c r="I318" s="10">
        <f t="shared" si="0"/>
        <v>21.75</v>
      </c>
      <c r="J318" s="10">
        <f t="shared" si="1"/>
        <v>435</v>
      </c>
      <c r="K318" s="7" t="s">
        <v>629</v>
      </c>
      <c r="P318" s="7">
        <v>76.3</v>
      </c>
      <c r="Q318" s="7">
        <v>85.7</v>
      </c>
      <c r="R318" s="7">
        <v>21.2</v>
      </c>
      <c r="S318" s="7">
        <v>88</v>
      </c>
      <c r="T318" s="7" t="s">
        <v>577</v>
      </c>
      <c r="U318" s="7" t="s">
        <v>498</v>
      </c>
      <c r="V318" s="7" t="s">
        <v>355</v>
      </c>
      <c r="W318" s="7" t="s">
        <v>631</v>
      </c>
      <c r="X318" s="7" t="s">
        <v>632</v>
      </c>
      <c r="Z318" s="7" t="s">
        <v>633</v>
      </c>
      <c r="AA318" s="7">
        <v>0.05</v>
      </c>
      <c r="AB318" s="7">
        <v>1.24</v>
      </c>
      <c r="AC318" s="7">
        <v>0.01</v>
      </c>
      <c r="AD318" s="7">
        <v>0.001</v>
      </c>
      <c r="AE318" s="7">
        <v>0.299</v>
      </c>
      <c r="AF318" s="7">
        <v>0.12</v>
      </c>
      <c r="AG318" s="7">
        <v>0.04</v>
      </c>
      <c r="AH318" s="7">
        <v>0.05</v>
      </c>
      <c r="AI318" s="7">
        <v>0.02</v>
      </c>
      <c r="AJ318" s="7">
        <v>0.003</v>
      </c>
      <c r="AK318" s="7">
        <v>0.025</v>
      </c>
      <c r="AL318" s="7">
        <v>0.005</v>
      </c>
      <c r="AM318" s="7">
        <v>0.035</v>
      </c>
      <c r="AN318" s="7">
        <v>0.002</v>
      </c>
      <c r="AO318" s="7">
        <v>0.0004</v>
      </c>
      <c r="AP318" s="7">
        <v>0.007</v>
      </c>
      <c r="AQ318" s="7">
        <v>0.0013</v>
      </c>
    </row>
    <row r="319" ht="30" customHeight="1">
      <c r="A319" s="6">
        <v>5695984</v>
      </c>
      <c r="C319" s="7" t="s">
        <v>43</v>
      </c>
      <c r="D319" s="7" t="s">
        <v>567</v>
      </c>
      <c r="E319" s="6">
        <v>0.045</v>
      </c>
      <c r="F319" s="7" t="s">
        <v>63</v>
      </c>
      <c r="G319" s="8">
        <v>53.31</v>
      </c>
      <c r="H319" s="9">
        <v>41700</v>
      </c>
      <c r="I319" s="10">
        <f t="shared" si="0"/>
        <v>20.85</v>
      </c>
      <c r="J319" s="10">
        <f t="shared" si="1"/>
        <v>417</v>
      </c>
      <c r="K319" s="7" t="s">
        <v>457</v>
      </c>
      <c r="P319" s="7">
        <v>64.4</v>
      </c>
      <c r="Q319" s="7">
        <v>92.4</v>
      </c>
      <c r="R319" s="7">
        <v>21.1</v>
      </c>
      <c r="S319" s="7">
        <v>88</v>
      </c>
      <c r="T319" s="7" t="s">
        <v>577</v>
      </c>
      <c r="U319" s="7" t="s">
        <v>498</v>
      </c>
      <c r="V319" s="7" t="s">
        <v>355</v>
      </c>
      <c r="W319" s="7" t="s">
        <v>514</v>
      </c>
      <c r="X319" s="7" t="s">
        <v>634</v>
      </c>
      <c r="AA319" s="7">
        <v>0.06</v>
      </c>
      <c r="AB319" s="7">
        <v>1.45</v>
      </c>
      <c r="AC319" s="7">
        <v>0.013</v>
      </c>
      <c r="AD319" s="7">
        <v>0.001</v>
      </c>
      <c r="AE319" s="7">
        <v>0.315</v>
      </c>
      <c r="AF319" s="7">
        <v>0.12</v>
      </c>
      <c r="AG319" s="7">
        <v>0.03</v>
      </c>
      <c r="AH319" s="7">
        <v>0.06</v>
      </c>
      <c r="AI319" s="7">
        <v>0.01</v>
      </c>
      <c r="AJ319" s="7">
        <v>0.005</v>
      </c>
      <c r="AK319" s="7">
        <v>0.037</v>
      </c>
      <c r="AL319" s="7">
        <v>0.006</v>
      </c>
      <c r="AM319" s="7">
        <v>0.048</v>
      </c>
      <c r="AN319" s="7">
        <v>0.002</v>
      </c>
      <c r="AO319" s="7">
        <v>0.0008</v>
      </c>
      <c r="AP319" s="7">
        <v>0.0065</v>
      </c>
      <c r="AQ319" s="7">
        <v>0.0024</v>
      </c>
    </row>
    <row r="320" ht="30" customHeight="1">
      <c r="A320" s="6">
        <v>5680990</v>
      </c>
      <c r="C320" s="7" t="s">
        <v>43</v>
      </c>
      <c r="D320" s="7" t="s">
        <v>567</v>
      </c>
      <c r="E320" s="6">
        <v>0.046</v>
      </c>
      <c r="F320" s="7" t="s">
        <v>63</v>
      </c>
      <c r="G320" s="8">
        <v>51.44</v>
      </c>
      <c r="H320" s="9">
        <v>45940</v>
      </c>
      <c r="I320" s="10">
        <f t="shared" si="0"/>
        <v>22.97</v>
      </c>
      <c r="J320" s="10">
        <f t="shared" si="1"/>
        <v>459.4</v>
      </c>
      <c r="K320" s="7" t="s">
        <v>457</v>
      </c>
      <c r="P320" s="7">
        <v>66</v>
      </c>
      <c r="Q320" s="7">
        <v>89.4</v>
      </c>
      <c r="R320" s="7">
        <v>23</v>
      </c>
      <c r="S320" s="7">
        <v>87</v>
      </c>
      <c r="T320" s="7" t="s">
        <v>572</v>
      </c>
      <c r="U320" s="7" t="s">
        <v>635</v>
      </c>
      <c r="V320" s="7" t="s">
        <v>355</v>
      </c>
      <c r="W320" s="7" t="s">
        <v>514</v>
      </c>
      <c r="Z320" s="7" t="s">
        <v>636</v>
      </c>
      <c r="AA320" s="7">
        <v>0.05</v>
      </c>
      <c r="AB320" s="7">
        <v>1.41</v>
      </c>
      <c r="AC320" s="7">
        <v>0.012</v>
      </c>
      <c r="AD320" s="7">
        <v>0.001</v>
      </c>
      <c r="AE320" s="7">
        <v>0.323</v>
      </c>
      <c r="AF320" s="7">
        <v>0.12</v>
      </c>
      <c r="AG320" s="7">
        <v>0.03</v>
      </c>
      <c r="AH320" s="7">
        <v>0.05</v>
      </c>
      <c r="AI320" s="7">
        <v>0.01</v>
      </c>
      <c r="AJ320" s="7">
        <v>0.005</v>
      </c>
      <c r="AK320" s="7">
        <v>0.031</v>
      </c>
      <c r="AL320" s="7">
        <v>0.005</v>
      </c>
      <c r="AM320" s="7">
        <v>0.049</v>
      </c>
      <c r="AN320" s="7">
        <v>0.002</v>
      </c>
      <c r="AO320" s="7">
        <v>0.0005</v>
      </c>
      <c r="AP320" s="7">
        <v>0.0058</v>
      </c>
      <c r="AQ320" s="7">
        <v>0.0017</v>
      </c>
    </row>
    <row r="321" ht="30" customHeight="1">
      <c r="A321" s="6">
        <v>5637944</v>
      </c>
      <c r="C321" s="7" t="s">
        <v>43</v>
      </c>
      <c r="D321" s="7" t="s">
        <v>567</v>
      </c>
      <c r="E321" s="6">
        <v>0.047</v>
      </c>
      <c r="F321" s="7" t="s">
        <v>45</v>
      </c>
      <c r="G321" s="8">
        <v>47.63</v>
      </c>
      <c r="H321" s="9">
        <v>28460</v>
      </c>
      <c r="I321" s="10">
        <f t="shared" si="0"/>
        <v>14.23</v>
      </c>
      <c r="J321" s="10">
        <f t="shared" si="1"/>
        <v>284.6</v>
      </c>
      <c r="K321" s="7" t="s">
        <v>629</v>
      </c>
      <c r="L321" s="7">
        <v>77.2</v>
      </c>
      <c r="M321" s="7">
        <v>89</v>
      </c>
      <c r="N321" s="7">
        <v>20</v>
      </c>
      <c r="T321" s="7" t="s">
        <v>637</v>
      </c>
      <c r="U321" s="7" t="s">
        <v>498</v>
      </c>
      <c r="V321" s="7" t="s">
        <v>355</v>
      </c>
      <c r="W321" s="7" t="s">
        <v>638</v>
      </c>
      <c r="X321" s="7" t="s">
        <v>506</v>
      </c>
      <c r="Y321" s="7" t="s">
        <v>115</v>
      </c>
      <c r="AA321" s="7">
        <v>0.05</v>
      </c>
      <c r="AB321" s="7">
        <v>1.29</v>
      </c>
      <c r="AC321" s="7">
        <v>0.017</v>
      </c>
      <c r="AD321" s="7">
        <v>0.001</v>
      </c>
      <c r="AE321" s="7">
        <v>0.308</v>
      </c>
      <c r="AF321" s="7">
        <v>0.13</v>
      </c>
      <c r="AG321" s="7">
        <v>0.04</v>
      </c>
      <c r="AH321" s="7">
        <v>0.08</v>
      </c>
      <c r="AI321" s="7">
        <v>0.01</v>
      </c>
      <c r="AJ321" s="7">
        <v>0.005</v>
      </c>
      <c r="AK321" s="7">
        <v>0.024</v>
      </c>
      <c r="AL321" s="7">
        <v>0.005</v>
      </c>
      <c r="AM321" s="7">
        <v>0.04</v>
      </c>
      <c r="AN321" s="7">
        <v>0.001</v>
      </c>
      <c r="AO321" s="7">
        <v>0.0004</v>
      </c>
      <c r="AP321" s="7">
        <v>0.0067</v>
      </c>
      <c r="AQ321" s="7">
        <v>0.0017</v>
      </c>
    </row>
    <row r="322" ht="30" customHeight="1">
      <c r="A322" s="6">
        <v>5596704</v>
      </c>
      <c r="C322" s="7" t="s">
        <v>43</v>
      </c>
      <c r="D322" s="7" t="s">
        <v>567</v>
      </c>
      <c r="E322" s="6">
        <v>0.047</v>
      </c>
      <c r="F322" s="7" t="s">
        <v>45</v>
      </c>
      <c r="G322" s="8">
        <v>47.63</v>
      </c>
      <c r="H322" s="9">
        <v>36240</v>
      </c>
      <c r="I322" s="10">
        <f t="shared" si="0"/>
        <v>18.12</v>
      </c>
      <c r="J322" s="10">
        <f t="shared" si="1"/>
        <v>362.4</v>
      </c>
      <c r="K322" s="7" t="s">
        <v>629</v>
      </c>
      <c r="P322" s="7">
        <v>76.1</v>
      </c>
      <c r="Q322" s="7">
        <v>84.5</v>
      </c>
      <c r="R322" s="7">
        <v>21.1</v>
      </c>
      <c r="T322" s="7" t="s">
        <v>594</v>
      </c>
      <c r="U322" s="7" t="s">
        <v>513</v>
      </c>
      <c r="V322" s="7" t="s">
        <v>355</v>
      </c>
      <c r="W322" s="7" t="s">
        <v>525</v>
      </c>
      <c r="AA322" s="7">
        <v>0.06</v>
      </c>
      <c r="AB322" s="7">
        <v>1.25</v>
      </c>
      <c r="AC322" s="7">
        <v>0.01</v>
      </c>
      <c r="AD322" s="7">
        <v>0.002</v>
      </c>
      <c r="AE322" s="7">
        <v>0.283</v>
      </c>
      <c r="AF322" s="7">
        <v>0.12</v>
      </c>
      <c r="AG322" s="7">
        <v>0.03</v>
      </c>
      <c r="AH322" s="7">
        <v>0.05</v>
      </c>
      <c r="AI322" s="7">
        <v>0.01</v>
      </c>
      <c r="AJ322" s="7">
        <v>0.004</v>
      </c>
      <c r="AK322" s="7">
        <v>0.026</v>
      </c>
      <c r="AL322" s="7">
        <v>0.004</v>
      </c>
      <c r="AM322" s="7">
        <v>0.034</v>
      </c>
      <c r="AN322" s="7">
        <v>0.002</v>
      </c>
      <c r="AO322" s="7">
        <v>0.0001</v>
      </c>
      <c r="AP322" s="7">
        <v>0.0069</v>
      </c>
      <c r="AQ322" s="7">
        <v>0.0013</v>
      </c>
    </row>
    <row r="323" ht="30" customHeight="1">
      <c r="A323" s="6">
        <v>5701618.002</v>
      </c>
      <c r="C323" s="7" t="s">
        <v>43</v>
      </c>
      <c r="D323" s="7" t="s">
        <v>567</v>
      </c>
      <c r="E323" s="6">
        <v>0.047</v>
      </c>
      <c r="F323" s="7" t="s">
        <v>45</v>
      </c>
      <c r="G323" s="8">
        <v>57.81</v>
      </c>
      <c r="H323" s="9">
        <v>10940</v>
      </c>
      <c r="I323" s="10">
        <f t="shared" si="0"/>
        <v>5.47</v>
      </c>
      <c r="J323" s="10">
        <f t="shared" si="1"/>
        <v>109.4</v>
      </c>
      <c r="K323" s="7" t="s">
        <v>629</v>
      </c>
      <c r="L323" s="7">
        <v>71.5</v>
      </c>
      <c r="M323" s="7">
        <v>83</v>
      </c>
      <c r="N323" s="7">
        <v>22.1</v>
      </c>
      <c r="T323" s="7" t="s">
        <v>572</v>
      </c>
      <c r="U323" s="7" t="s">
        <v>635</v>
      </c>
      <c r="V323" s="7" t="s">
        <v>355</v>
      </c>
      <c r="W323" s="7" t="s">
        <v>365</v>
      </c>
      <c r="X323" s="7" t="s">
        <v>115</v>
      </c>
      <c r="Y323" s="7" t="s">
        <v>514</v>
      </c>
      <c r="Z323" s="7" t="s">
        <v>639</v>
      </c>
      <c r="AA323" s="7">
        <v>0.06</v>
      </c>
      <c r="AB323" s="7">
        <v>1.29</v>
      </c>
      <c r="AC323" s="7">
        <v>0.011</v>
      </c>
      <c r="AD323" s="7">
        <v>0.001</v>
      </c>
      <c r="AE323" s="7">
        <v>0.263</v>
      </c>
      <c r="AF323" s="7">
        <v>0.13</v>
      </c>
      <c r="AG323" s="7">
        <v>0.03</v>
      </c>
      <c r="AH323" s="7">
        <v>0.05</v>
      </c>
      <c r="AI323" s="7">
        <v>0.01</v>
      </c>
      <c r="AJ323" s="7">
        <v>0.005</v>
      </c>
      <c r="AK323" s="7">
        <v>0.026</v>
      </c>
      <c r="AL323" s="7">
        <v>0.004</v>
      </c>
      <c r="AM323" s="7">
        <v>0.032</v>
      </c>
      <c r="AN323" s="7">
        <v>0.001</v>
      </c>
      <c r="AO323" s="7">
        <v>0.0003</v>
      </c>
      <c r="AP323" s="7">
        <v>0.0058</v>
      </c>
      <c r="AQ323" s="7">
        <v>0.0019</v>
      </c>
    </row>
    <row r="324" ht="30" customHeight="1">
      <c r="A324" s="6">
        <v>5701623</v>
      </c>
      <c r="C324" s="7" t="s">
        <v>43</v>
      </c>
      <c r="D324" s="7" t="s">
        <v>567</v>
      </c>
      <c r="E324" s="6">
        <v>0.047</v>
      </c>
      <c r="F324" s="7" t="s">
        <v>45</v>
      </c>
      <c r="G324" s="8">
        <v>58.63</v>
      </c>
      <c r="H324" s="9">
        <v>43760</v>
      </c>
      <c r="I324" s="10">
        <f t="shared" si="0"/>
        <v>21.88</v>
      </c>
      <c r="J324" s="10">
        <f t="shared" si="1"/>
        <v>437.6</v>
      </c>
      <c r="K324" s="7" t="s">
        <v>457</v>
      </c>
      <c r="P324" s="7">
        <v>64.6</v>
      </c>
      <c r="Q324" s="7">
        <v>95.1</v>
      </c>
      <c r="R324" s="7">
        <v>20.3</v>
      </c>
      <c r="S324" s="7">
        <v>89</v>
      </c>
      <c r="T324" s="7" t="s">
        <v>577</v>
      </c>
      <c r="U324" s="7" t="s">
        <v>498</v>
      </c>
      <c r="V324" s="7" t="s">
        <v>355</v>
      </c>
      <c r="W324" s="7" t="s">
        <v>514</v>
      </c>
      <c r="AA324" s="7">
        <v>0.06</v>
      </c>
      <c r="AB324" s="7">
        <v>1.45</v>
      </c>
      <c r="AC324" s="7">
        <v>0.013</v>
      </c>
      <c r="AD324" s="7">
        <v>0.001</v>
      </c>
      <c r="AE324" s="7">
        <v>0.315</v>
      </c>
      <c r="AF324" s="7">
        <v>0.12</v>
      </c>
      <c r="AG324" s="7">
        <v>0.03</v>
      </c>
      <c r="AH324" s="7">
        <v>0.06</v>
      </c>
      <c r="AI324" s="7">
        <v>0.01</v>
      </c>
      <c r="AJ324" s="7">
        <v>0.005</v>
      </c>
      <c r="AK324" s="7">
        <v>0.037</v>
      </c>
      <c r="AL324" s="7">
        <v>0.006</v>
      </c>
      <c r="AM324" s="7">
        <v>0.048</v>
      </c>
      <c r="AN324" s="7">
        <v>0.002</v>
      </c>
      <c r="AO324" s="7">
        <v>0.0008</v>
      </c>
      <c r="AP324" s="7">
        <v>0.0065</v>
      </c>
      <c r="AQ324" s="7">
        <v>0.0024</v>
      </c>
    </row>
    <row r="325" ht="30" customHeight="1">
      <c r="A325" s="6">
        <v>5701624</v>
      </c>
      <c r="C325" s="7" t="s">
        <v>43</v>
      </c>
      <c r="D325" s="7" t="s">
        <v>567</v>
      </c>
      <c r="E325" s="6">
        <v>0.047</v>
      </c>
      <c r="F325" s="7" t="s">
        <v>45</v>
      </c>
      <c r="G325" s="8">
        <v>58.63</v>
      </c>
      <c r="H325" s="9">
        <v>43840</v>
      </c>
      <c r="I325" s="10">
        <f t="shared" si="0"/>
        <v>21.92</v>
      </c>
      <c r="J325" s="10">
        <f t="shared" si="1"/>
        <v>438.4</v>
      </c>
      <c r="K325" s="7" t="s">
        <v>457</v>
      </c>
      <c r="P325" s="7">
        <v>64.6</v>
      </c>
      <c r="Q325" s="7">
        <v>91.3</v>
      </c>
      <c r="R325" s="7">
        <v>21.3</v>
      </c>
      <c r="S325" s="7">
        <v>88</v>
      </c>
      <c r="T325" s="7" t="s">
        <v>577</v>
      </c>
      <c r="U325" s="7" t="s">
        <v>498</v>
      </c>
      <c r="V325" s="7" t="s">
        <v>355</v>
      </c>
      <c r="W325" s="7" t="s">
        <v>514</v>
      </c>
      <c r="AA325" s="7">
        <v>0.06</v>
      </c>
      <c r="AB325" s="7">
        <v>1.45</v>
      </c>
      <c r="AC325" s="7">
        <v>0.013</v>
      </c>
      <c r="AD325" s="7">
        <v>0.001</v>
      </c>
      <c r="AE325" s="7">
        <v>0.315</v>
      </c>
      <c r="AF325" s="7">
        <v>0.12</v>
      </c>
      <c r="AG325" s="7">
        <v>0.03</v>
      </c>
      <c r="AH325" s="7">
        <v>0.06</v>
      </c>
      <c r="AI325" s="7">
        <v>0.01</v>
      </c>
      <c r="AJ325" s="7">
        <v>0.005</v>
      </c>
      <c r="AK325" s="7">
        <v>0.037</v>
      </c>
      <c r="AL325" s="7">
        <v>0.006</v>
      </c>
      <c r="AM325" s="7">
        <v>0.048</v>
      </c>
      <c r="AN325" s="7">
        <v>0.002</v>
      </c>
      <c r="AO325" s="7">
        <v>0.0008</v>
      </c>
      <c r="AP325" s="7">
        <v>0.0065</v>
      </c>
      <c r="AQ325" s="7">
        <v>0.0024</v>
      </c>
    </row>
    <row r="326" ht="30" customHeight="1">
      <c r="A326" s="6">
        <v>5637026.901</v>
      </c>
      <c r="C326" s="7" t="s">
        <v>51</v>
      </c>
      <c r="D326" s="7" t="s">
        <v>567</v>
      </c>
      <c r="E326" s="6">
        <v>0.048</v>
      </c>
      <c r="F326" s="7" t="s">
        <v>63</v>
      </c>
      <c r="G326" s="8">
        <v>60.13</v>
      </c>
      <c r="H326" s="9">
        <v>11820</v>
      </c>
      <c r="I326" s="10">
        <f t="shared" si="0"/>
        <v>5.91</v>
      </c>
      <c r="J326" s="10">
        <f t="shared" si="1"/>
        <v>118.2</v>
      </c>
      <c r="K326" s="7" t="s">
        <v>90</v>
      </c>
      <c r="S326" s="7">
        <v>64</v>
      </c>
      <c r="T326" s="7" t="s">
        <v>572</v>
      </c>
      <c r="U326" s="7" t="s">
        <v>498</v>
      </c>
      <c r="V326" s="7" t="s">
        <v>355</v>
      </c>
      <c r="W326" s="7" t="s">
        <v>640</v>
      </c>
      <c r="X326" s="7" t="s">
        <v>628</v>
      </c>
      <c r="Y326" s="7" t="s">
        <v>499</v>
      </c>
      <c r="AA326" s="7">
        <v>0.05</v>
      </c>
      <c r="AB326" s="7">
        <v>0.18</v>
      </c>
      <c r="AC326" s="7">
        <v>0.012</v>
      </c>
      <c r="AD326" s="7">
        <v>0.002</v>
      </c>
      <c r="AE326" s="7">
        <v>0.021</v>
      </c>
      <c r="AF326" s="7">
        <v>0.1</v>
      </c>
      <c r="AG326" s="7">
        <v>0.03</v>
      </c>
      <c r="AH326" s="7">
        <v>0.05</v>
      </c>
      <c r="AI326" s="7">
        <v>0.01</v>
      </c>
      <c r="AJ326" s="7">
        <v>0.003</v>
      </c>
      <c r="AK326" s="7">
        <v>0.024</v>
      </c>
      <c r="AL326" s="7">
        <v>0.002</v>
      </c>
      <c r="AM326" s="7">
        <v>0.001</v>
      </c>
      <c r="AN326" s="7">
        <v>0.001</v>
      </c>
      <c r="AO326" s="7">
        <v>0.0001</v>
      </c>
      <c r="AP326" s="7">
        <v>0.0051</v>
      </c>
      <c r="AQ326" s="7">
        <v>0.0024</v>
      </c>
    </row>
    <row r="327" ht="15" customHeight="1">
      <c r="A327" s="6">
        <v>5679317.901</v>
      </c>
      <c r="C327" s="7" t="s">
        <v>51</v>
      </c>
      <c r="D327" s="7" t="s">
        <v>567</v>
      </c>
      <c r="E327" s="6">
        <v>0.049</v>
      </c>
      <c r="F327" s="7" t="s">
        <v>63</v>
      </c>
      <c r="G327" s="8">
        <v>48.38</v>
      </c>
      <c r="H327" s="9">
        <v>10900</v>
      </c>
      <c r="I327" s="10">
        <f t="shared" si="0"/>
        <v>5.45</v>
      </c>
      <c r="J327" s="10">
        <f t="shared" si="1"/>
        <v>109</v>
      </c>
      <c r="K327" s="7" t="s">
        <v>90</v>
      </c>
      <c r="P327" s="7">
        <v>94.4</v>
      </c>
      <c r="Q327" s="7">
        <v>98.5</v>
      </c>
      <c r="R327" s="7">
        <v>12.1</v>
      </c>
      <c r="S327" s="7">
        <v>94</v>
      </c>
      <c r="T327" s="7" t="s">
        <v>641</v>
      </c>
      <c r="U327" s="7" t="s">
        <v>569</v>
      </c>
      <c r="V327" s="7" t="s">
        <v>47</v>
      </c>
      <c r="W327" s="7" t="s">
        <v>642</v>
      </c>
      <c r="X327" s="7" t="s">
        <v>643</v>
      </c>
      <c r="Y327" s="7" t="s">
        <v>91</v>
      </c>
      <c r="AA327" s="7">
        <v>0.05</v>
      </c>
      <c r="AB327" s="7">
        <v>0.19</v>
      </c>
      <c r="AC327" s="7">
        <v>0.011</v>
      </c>
      <c r="AD327" s="7">
        <v>0.003</v>
      </c>
      <c r="AE327" s="7">
        <v>0.022</v>
      </c>
      <c r="AF327" s="7">
        <v>0.15</v>
      </c>
      <c r="AG327" s="7">
        <v>0.03</v>
      </c>
      <c r="AH327" s="7">
        <v>0.04</v>
      </c>
      <c r="AI327" s="7">
        <v>0.01</v>
      </c>
      <c r="AJ327" s="7">
        <v>0.005</v>
      </c>
      <c r="AK327" s="7">
        <v>0.024</v>
      </c>
      <c r="AL327" s="7">
        <v>0.001</v>
      </c>
      <c r="AM327" s="7">
        <v>0.001</v>
      </c>
      <c r="AN327" s="7">
        <v>0.001</v>
      </c>
      <c r="AO327" s="7">
        <v>0.0002</v>
      </c>
      <c r="AP327" s="7">
        <v>0.0056</v>
      </c>
      <c r="AQ327" s="7">
        <v>0.0019</v>
      </c>
    </row>
    <row r="328" ht="30" customHeight="1">
      <c r="A328" s="6">
        <v>5607262.902</v>
      </c>
      <c r="C328" s="7" t="s">
        <v>43</v>
      </c>
      <c r="D328" s="7" t="s">
        <v>567</v>
      </c>
      <c r="E328" s="6">
        <v>0.053</v>
      </c>
      <c r="F328" s="7" t="s">
        <v>45</v>
      </c>
      <c r="G328" s="8">
        <v>47.63</v>
      </c>
      <c r="H328" s="9">
        <v>38580</v>
      </c>
      <c r="I328" s="10">
        <f t="shared" si="0"/>
        <v>19.29</v>
      </c>
      <c r="J328" s="10">
        <f t="shared" si="1"/>
        <v>385.8</v>
      </c>
      <c r="K328" s="7" t="s">
        <v>131</v>
      </c>
      <c r="L328" s="7">
        <v>80.9</v>
      </c>
      <c r="M328" s="7">
        <v>125.2</v>
      </c>
      <c r="N328" s="7">
        <v>17.6</v>
      </c>
      <c r="P328" s="7">
        <v>78.5</v>
      </c>
      <c r="Q328" s="7">
        <v>123.1</v>
      </c>
      <c r="R328" s="7">
        <v>18.2</v>
      </c>
      <c r="T328" s="7" t="s">
        <v>572</v>
      </c>
      <c r="U328" s="7" t="s">
        <v>635</v>
      </c>
      <c r="V328" s="7" t="s">
        <v>355</v>
      </c>
      <c r="W328" s="7" t="s">
        <v>550</v>
      </c>
      <c r="X328" s="7" t="s">
        <v>447</v>
      </c>
      <c r="Y328" s="7" t="s">
        <v>115</v>
      </c>
      <c r="Z328" s="7" t="s">
        <v>644</v>
      </c>
      <c r="AA328" s="7">
        <v>0.07</v>
      </c>
      <c r="AB328" s="7">
        <v>1.89</v>
      </c>
      <c r="AC328" s="7">
        <v>0.014</v>
      </c>
      <c r="AD328" s="7">
        <v>0</v>
      </c>
      <c r="AE328" s="7">
        <v>0.264</v>
      </c>
      <c r="AF328" s="7">
        <v>0.12</v>
      </c>
      <c r="AG328" s="7">
        <v>0.06</v>
      </c>
      <c r="AH328" s="7">
        <v>0.79</v>
      </c>
      <c r="AI328" s="7">
        <v>0.32</v>
      </c>
      <c r="AJ328" s="7">
        <v>0.004</v>
      </c>
      <c r="AK328" s="7">
        <v>0.024</v>
      </c>
      <c r="AL328" s="7">
        <v>0.002</v>
      </c>
      <c r="AM328" s="7">
        <v>0.012</v>
      </c>
      <c r="AN328" s="7">
        <v>0</v>
      </c>
      <c r="AO328" s="7">
        <v>0.0003</v>
      </c>
      <c r="AP328" s="7">
        <v>0.0062</v>
      </c>
      <c r="AQ328" s="7">
        <v>0.0013</v>
      </c>
    </row>
    <row r="329" ht="30" customHeight="1">
      <c r="A329" s="6">
        <v>5574973</v>
      </c>
      <c r="C329" s="7" t="s">
        <v>43</v>
      </c>
      <c r="D329" s="7" t="s">
        <v>567</v>
      </c>
      <c r="E329" s="6">
        <v>0.053</v>
      </c>
      <c r="F329" s="7" t="s">
        <v>45</v>
      </c>
      <c r="G329" s="8">
        <v>47.63</v>
      </c>
      <c r="H329" s="9">
        <v>41500</v>
      </c>
      <c r="I329" s="10">
        <f t="shared" si="0"/>
        <v>20.75</v>
      </c>
      <c r="J329" s="10">
        <f t="shared" si="1"/>
        <v>415</v>
      </c>
      <c r="K329" s="7" t="s">
        <v>131</v>
      </c>
      <c r="L329" s="7">
        <v>65.1</v>
      </c>
      <c r="M329" s="7">
        <v>105.4</v>
      </c>
      <c r="N329" s="7">
        <v>20.3</v>
      </c>
      <c r="T329" s="7" t="s">
        <v>568</v>
      </c>
      <c r="U329" s="7" t="s">
        <v>498</v>
      </c>
      <c r="V329" s="7" t="s">
        <v>355</v>
      </c>
      <c r="W329" s="7" t="s">
        <v>543</v>
      </c>
      <c r="Z329" s="7" t="s">
        <v>645</v>
      </c>
      <c r="AA329" s="7">
        <v>0.07</v>
      </c>
      <c r="AB329" s="7">
        <v>1.88</v>
      </c>
      <c r="AC329" s="7">
        <v>0.015</v>
      </c>
      <c r="AD329" s="7">
        <v>0.001</v>
      </c>
      <c r="AE329" s="7">
        <v>0.276</v>
      </c>
      <c r="AF329" s="7">
        <v>0.09</v>
      </c>
      <c r="AG329" s="7">
        <v>0.03</v>
      </c>
      <c r="AH329" s="7">
        <v>0.76</v>
      </c>
      <c r="AI329" s="7">
        <v>0.3</v>
      </c>
      <c r="AJ329" s="7">
        <v>0.003</v>
      </c>
      <c r="AK329" s="7">
        <v>0.03</v>
      </c>
      <c r="AL329" s="7">
        <v>0.001</v>
      </c>
      <c r="AM329" s="7">
        <v>0.011</v>
      </c>
      <c r="AN329" s="7">
        <v>0.001</v>
      </c>
      <c r="AO329" s="7">
        <v>0.0004</v>
      </c>
      <c r="AP329" s="7">
        <v>0.0058</v>
      </c>
      <c r="AQ329" s="7">
        <v>0.0013</v>
      </c>
    </row>
    <row r="330" ht="30" customHeight="1">
      <c r="A330" s="6">
        <v>5696083</v>
      </c>
      <c r="C330" s="7" t="s">
        <v>43</v>
      </c>
      <c r="D330" s="7" t="s">
        <v>567</v>
      </c>
      <c r="E330" s="6">
        <v>0.055</v>
      </c>
      <c r="F330" s="7" t="s">
        <v>45</v>
      </c>
      <c r="G330" s="8">
        <v>42.69</v>
      </c>
      <c r="H330" s="9">
        <v>33800</v>
      </c>
      <c r="I330" s="10">
        <f t="shared" si="0"/>
        <v>16.9</v>
      </c>
      <c r="J330" s="10">
        <f t="shared" si="1"/>
        <v>338</v>
      </c>
      <c r="K330" s="7" t="s">
        <v>457</v>
      </c>
      <c r="P330" s="7">
        <v>65.4</v>
      </c>
      <c r="Q330" s="7">
        <v>89.2</v>
      </c>
      <c r="R330" s="7">
        <v>22.5</v>
      </c>
      <c r="S330" s="7">
        <v>87</v>
      </c>
      <c r="T330" s="7" t="s">
        <v>577</v>
      </c>
      <c r="U330" s="7" t="s">
        <v>498</v>
      </c>
      <c r="V330" s="7" t="s">
        <v>355</v>
      </c>
      <c r="W330" s="7" t="s">
        <v>514</v>
      </c>
      <c r="X330" s="7" t="s">
        <v>646</v>
      </c>
      <c r="Z330" s="7" t="s">
        <v>647</v>
      </c>
      <c r="AA330" s="7">
        <v>0.05</v>
      </c>
      <c r="AB330" s="7">
        <v>1.44</v>
      </c>
      <c r="AC330" s="7">
        <v>0.014</v>
      </c>
      <c r="AD330" s="7">
        <v>0.001</v>
      </c>
      <c r="AE330" s="7">
        <v>0.335</v>
      </c>
      <c r="AF330" s="7">
        <v>0.12</v>
      </c>
      <c r="AG330" s="7">
        <v>0.03</v>
      </c>
      <c r="AH330" s="7">
        <v>0.04</v>
      </c>
      <c r="AI330" s="7">
        <v>0.01</v>
      </c>
      <c r="AJ330" s="7">
        <v>0.004</v>
      </c>
      <c r="AK330" s="7">
        <v>0.033</v>
      </c>
      <c r="AL330" s="7">
        <v>0.005</v>
      </c>
      <c r="AM330" s="7">
        <v>0.047</v>
      </c>
      <c r="AN330" s="7">
        <v>0.002</v>
      </c>
      <c r="AO330" s="7">
        <v>0.0006</v>
      </c>
      <c r="AP330" s="7">
        <v>0.0059</v>
      </c>
      <c r="AQ330" s="7">
        <v>0.0014</v>
      </c>
    </row>
    <row r="331" ht="30" customHeight="1">
      <c r="A331" s="6">
        <v>5652288</v>
      </c>
      <c r="C331" s="7" t="s">
        <v>43</v>
      </c>
      <c r="D331" s="7" t="s">
        <v>567</v>
      </c>
      <c r="E331" s="6">
        <v>0.058</v>
      </c>
      <c r="F331" s="7" t="s">
        <v>45</v>
      </c>
      <c r="G331" s="8">
        <v>50.31</v>
      </c>
      <c r="H331" s="9">
        <v>39000</v>
      </c>
      <c r="I331" s="10">
        <f t="shared" si="0"/>
        <v>19.5</v>
      </c>
      <c r="J331" s="10">
        <f t="shared" si="1"/>
        <v>390</v>
      </c>
      <c r="K331" s="7" t="s">
        <v>457</v>
      </c>
      <c r="L331" s="7">
        <v>90.2</v>
      </c>
      <c r="M331" s="7">
        <v>100.2</v>
      </c>
      <c r="N331" s="7">
        <v>15.2</v>
      </c>
      <c r="T331" s="7" t="s">
        <v>568</v>
      </c>
      <c r="U331" s="7" t="s">
        <v>498</v>
      </c>
      <c r="V331" s="7" t="s">
        <v>355</v>
      </c>
      <c r="W331" s="7" t="s">
        <v>648</v>
      </c>
      <c r="X331" s="7" t="s">
        <v>304</v>
      </c>
      <c r="Y331" s="7" t="s">
        <v>649</v>
      </c>
      <c r="AA331" s="7">
        <v>0.05</v>
      </c>
      <c r="AB331" s="7">
        <v>1.41</v>
      </c>
      <c r="AC331" s="7">
        <v>0.012</v>
      </c>
      <c r="AD331" s="7">
        <v>0.001</v>
      </c>
      <c r="AE331" s="7">
        <v>0.323</v>
      </c>
      <c r="AF331" s="7">
        <v>0.12</v>
      </c>
      <c r="AG331" s="7">
        <v>0.03</v>
      </c>
      <c r="AH331" s="7">
        <v>0.05</v>
      </c>
      <c r="AI331" s="7">
        <v>0.01</v>
      </c>
      <c r="AJ331" s="7">
        <v>0.005</v>
      </c>
      <c r="AK331" s="7">
        <v>0.031</v>
      </c>
      <c r="AL331" s="7">
        <v>0.005</v>
      </c>
      <c r="AM331" s="7">
        <v>0.049</v>
      </c>
      <c r="AN331" s="7">
        <v>0.002</v>
      </c>
      <c r="AO331" s="7">
        <v>0.0005</v>
      </c>
      <c r="AP331" s="7">
        <v>0.0058</v>
      </c>
      <c r="AQ331" s="7">
        <v>0.0017</v>
      </c>
    </row>
    <row r="332" ht="60" customHeight="1">
      <c r="A332" s="6">
        <v>5641043</v>
      </c>
      <c r="C332" s="7" t="s">
        <v>43</v>
      </c>
      <c r="D332" s="7" t="s">
        <v>567</v>
      </c>
      <c r="E332" s="6">
        <v>0.059</v>
      </c>
      <c r="F332" s="7" t="s">
        <v>45</v>
      </c>
      <c r="G332" s="8">
        <v>42</v>
      </c>
      <c r="H332" s="9">
        <v>33560</v>
      </c>
      <c r="I332" s="10">
        <f t="shared" si="0"/>
        <v>16.78</v>
      </c>
      <c r="J332" s="10">
        <f t="shared" si="1"/>
        <v>335.6</v>
      </c>
      <c r="K332" s="7" t="s">
        <v>457</v>
      </c>
      <c r="L332" s="7">
        <v>65.4</v>
      </c>
      <c r="M332" s="7">
        <v>83.6</v>
      </c>
      <c r="N332" s="7">
        <v>21.3</v>
      </c>
      <c r="P332" s="7">
        <v>82.1</v>
      </c>
      <c r="Q332" s="7">
        <v>91.4</v>
      </c>
      <c r="R332" s="7">
        <v>18.1</v>
      </c>
      <c r="T332" s="7" t="s">
        <v>568</v>
      </c>
      <c r="U332" s="7" t="s">
        <v>498</v>
      </c>
      <c r="V332" s="7" t="s">
        <v>355</v>
      </c>
      <c r="W332" s="7" t="s">
        <v>514</v>
      </c>
      <c r="X332" s="7" t="s">
        <v>304</v>
      </c>
      <c r="Y332" s="7" t="s">
        <v>115</v>
      </c>
      <c r="Z332" s="7" t="s">
        <v>650</v>
      </c>
      <c r="AA332" s="7">
        <v>0.06</v>
      </c>
      <c r="AB332" s="7">
        <v>1.48</v>
      </c>
      <c r="AC332" s="7">
        <v>0.009</v>
      </c>
      <c r="AD332" s="7">
        <v>0</v>
      </c>
      <c r="AE332" s="7">
        <v>0.345</v>
      </c>
      <c r="AF332" s="7">
        <v>0.11</v>
      </c>
      <c r="AG332" s="7">
        <v>0.03</v>
      </c>
      <c r="AH332" s="7">
        <v>0.07</v>
      </c>
      <c r="AI332" s="7">
        <v>0.02</v>
      </c>
      <c r="AJ332" s="7">
        <v>0.002</v>
      </c>
      <c r="AK332" s="7">
        <v>0.033</v>
      </c>
      <c r="AL332" s="7">
        <v>0.005</v>
      </c>
      <c r="AM332" s="7">
        <v>0.047</v>
      </c>
      <c r="AN332" s="7">
        <v>0.002</v>
      </c>
      <c r="AO332" s="7">
        <v>0.0004</v>
      </c>
      <c r="AP332" s="7">
        <v>0.006</v>
      </c>
      <c r="AQ332" s="7">
        <v>0.0011</v>
      </c>
    </row>
    <row r="333" ht="30" customHeight="1">
      <c r="A333" s="6">
        <v>5673983</v>
      </c>
      <c r="C333" s="7" t="s">
        <v>43</v>
      </c>
      <c r="D333" s="7" t="s">
        <v>567</v>
      </c>
      <c r="E333" s="6">
        <v>0.062</v>
      </c>
      <c r="F333" s="7" t="s">
        <v>63</v>
      </c>
      <c r="G333" s="8">
        <v>53.75</v>
      </c>
      <c r="H333" s="9">
        <v>37100</v>
      </c>
      <c r="I333" s="10">
        <f t="shared" si="0"/>
        <v>18.55</v>
      </c>
      <c r="J333" s="10">
        <f t="shared" si="1"/>
        <v>371</v>
      </c>
      <c r="K333" s="7" t="s">
        <v>629</v>
      </c>
      <c r="P333" s="7">
        <v>84.2</v>
      </c>
      <c r="Q333" s="7">
        <v>96.2</v>
      </c>
      <c r="R333" s="7">
        <v>17.6</v>
      </c>
      <c r="S333" s="7">
        <v>91</v>
      </c>
      <c r="T333" s="7" t="s">
        <v>577</v>
      </c>
      <c r="U333" s="7" t="s">
        <v>498</v>
      </c>
      <c r="V333" s="7" t="s">
        <v>355</v>
      </c>
      <c r="W333" s="7" t="s">
        <v>514</v>
      </c>
      <c r="X333" s="7" t="s">
        <v>556</v>
      </c>
      <c r="Y333" s="7" t="s">
        <v>651</v>
      </c>
      <c r="AA333" s="7">
        <v>0.05</v>
      </c>
      <c r="AB333" s="7">
        <v>1.26</v>
      </c>
      <c r="AC333" s="7">
        <v>0.013</v>
      </c>
      <c r="AD333" s="7">
        <v>0.001</v>
      </c>
      <c r="AE333" s="7">
        <v>0.321</v>
      </c>
      <c r="AF333" s="7">
        <v>0.13</v>
      </c>
      <c r="AG333" s="7">
        <v>0.02</v>
      </c>
      <c r="AH333" s="7">
        <v>0.06</v>
      </c>
      <c r="AI333" s="7">
        <v>0.01</v>
      </c>
      <c r="AJ333" s="7">
        <v>0.005</v>
      </c>
      <c r="AK333" s="7">
        <v>0.034</v>
      </c>
      <c r="AL333" s="7">
        <v>0.005</v>
      </c>
      <c r="AM333" s="7">
        <v>0.039</v>
      </c>
      <c r="AN333" s="7">
        <v>0.002</v>
      </c>
      <c r="AO333" s="7">
        <v>0.0004</v>
      </c>
      <c r="AP333" s="7">
        <v>0.0056</v>
      </c>
      <c r="AQ333" s="7">
        <v>0.002</v>
      </c>
    </row>
    <row r="334" ht="15" customHeight="1">
      <c r="A334" s="6">
        <v>5636319.001</v>
      </c>
      <c r="C334" s="7" t="s">
        <v>51</v>
      </c>
      <c r="D334" s="7" t="s">
        <v>567</v>
      </c>
      <c r="E334" s="6">
        <v>0.062</v>
      </c>
      <c r="F334" s="7" t="s">
        <v>63</v>
      </c>
      <c r="G334" s="8">
        <v>61.75</v>
      </c>
      <c r="H334" s="9">
        <v>43240</v>
      </c>
      <c r="I334" s="10">
        <f t="shared" si="0"/>
        <v>21.62</v>
      </c>
      <c r="J334" s="10">
        <f t="shared" si="1"/>
        <v>432.4</v>
      </c>
      <c r="K334" s="7" t="s">
        <v>68</v>
      </c>
      <c r="P334" s="7">
        <v>42.6</v>
      </c>
      <c r="Q334" s="7">
        <v>53.3</v>
      </c>
      <c r="R334" s="7">
        <v>38.5</v>
      </c>
      <c r="S334" s="7">
        <v>58</v>
      </c>
      <c r="T334" s="7" t="s">
        <v>652</v>
      </c>
      <c r="U334" s="7" t="s">
        <v>498</v>
      </c>
      <c r="V334" s="7" t="s">
        <v>355</v>
      </c>
      <c r="W334" s="7" t="s">
        <v>653</v>
      </c>
      <c r="X334" s="7" t="s">
        <v>654</v>
      </c>
      <c r="Y334" s="7" t="s">
        <v>655</v>
      </c>
      <c r="Z334" s="7" t="s">
        <v>656</v>
      </c>
      <c r="AA334" s="7">
        <v>0.02</v>
      </c>
      <c r="AB334" s="7">
        <v>0.2</v>
      </c>
      <c r="AC334" s="7">
        <v>0.011</v>
      </c>
      <c r="AD334" s="7">
        <v>0.002</v>
      </c>
      <c r="AE334" s="7">
        <v>0.028</v>
      </c>
      <c r="AF334" s="7">
        <v>0.09</v>
      </c>
      <c r="AG334" s="7">
        <v>0.02</v>
      </c>
      <c r="AH334" s="7">
        <v>0.04</v>
      </c>
      <c r="AI334" s="7">
        <v>0.01</v>
      </c>
      <c r="AJ334" s="7">
        <v>0.002</v>
      </c>
      <c r="AK334" s="7">
        <v>0.044</v>
      </c>
      <c r="AL334" s="7">
        <v>0.002</v>
      </c>
      <c r="AM334" s="7">
        <v>0.001</v>
      </c>
      <c r="AN334" s="7">
        <v>0.001</v>
      </c>
      <c r="AO334" s="7">
        <v>0.0001</v>
      </c>
      <c r="AP334" s="7">
        <v>0.0045</v>
      </c>
      <c r="AQ334" s="7">
        <v>0.0021</v>
      </c>
    </row>
    <row r="335" ht="30" customHeight="1">
      <c r="A335" s="6">
        <v>5653296.904</v>
      </c>
      <c r="C335" s="7" t="s">
        <v>51</v>
      </c>
      <c r="D335" s="7" t="s">
        <v>567</v>
      </c>
      <c r="E335" s="6">
        <v>0.063</v>
      </c>
      <c r="F335" s="7" t="s">
        <v>45</v>
      </c>
      <c r="G335" s="8">
        <v>50.81</v>
      </c>
      <c r="H335" s="9">
        <v>13780</v>
      </c>
      <c r="I335" s="10">
        <f t="shared" si="0"/>
        <v>6.89</v>
      </c>
      <c r="J335" s="10">
        <f t="shared" si="1"/>
        <v>137.8</v>
      </c>
      <c r="K335" s="7" t="s">
        <v>121</v>
      </c>
      <c r="P335" s="7">
        <v>55.5</v>
      </c>
      <c r="Q335" s="7">
        <v>90.3</v>
      </c>
      <c r="R335" s="7">
        <v>23.6</v>
      </c>
      <c r="S335" s="7">
        <v>88</v>
      </c>
      <c r="T335" s="7" t="s">
        <v>568</v>
      </c>
      <c r="U335" s="7" t="s">
        <v>498</v>
      </c>
      <c r="V335" s="7" t="s">
        <v>355</v>
      </c>
      <c r="W335" s="7" t="s">
        <v>323</v>
      </c>
      <c r="X335" s="7" t="s">
        <v>324</v>
      </c>
      <c r="Y335" s="7" t="s">
        <v>657</v>
      </c>
      <c r="AA335" s="7">
        <v>0.07</v>
      </c>
      <c r="AB335" s="7">
        <v>1.53</v>
      </c>
      <c r="AC335" s="7">
        <v>0.011</v>
      </c>
      <c r="AD335" s="7">
        <v>0.002</v>
      </c>
      <c r="AE335" s="7">
        <v>0.245</v>
      </c>
      <c r="AF335" s="7">
        <v>0.11</v>
      </c>
      <c r="AG335" s="7">
        <v>0.03</v>
      </c>
      <c r="AH335" s="7">
        <v>0.61</v>
      </c>
      <c r="AI335" s="7">
        <v>0.01</v>
      </c>
      <c r="AJ335" s="7">
        <v>0.003</v>
      </c>
      <c r="AK335" s="7">
        <v>0.039</v>
      </c>
      <c r="AL335" s="7">
        <v>0.005</v>
      </c>
      <c r="AM335" s="7">
        <v>0.012</v>
      </c>
      <c r="AN335" s="7">
        <v>0.012</v>
      </c>
      <c r="AO335" s="7">
        <v>0.0002</v>
      </c>
      <c r="AP335" s="7">
        <v>0.0068</v>
      </c>
      <c r="AQ335" s="7">
        <v>0.0028</v>
      </c>
    </row>
    <row r="336" ht="30" customHeight="1">
      <c r="A336" s="6">
        <v>5626429.901</v>
      </c>
      <c r="C336" s="7" t="s">
        <v>43</v>
      </c>
      <c r="D336" s="7" t="s">
        <v>567</v>
      </c>
      <c r="E336" s="6">
        <v>0.063</v>
      </c>
      <c r="F336" s="7" t="s">
        <v>45</v>
      </c>
      <c r="G336" s="8">
        <v>50.84</v>
      </c>
      <c r="H336" s="9">
        <v>18300</v>
      </c>
      <c r="I336" s="10">
        <f t="shared" si="0"/>
        <v>9.15</v>
      </c>
      <c r="J336" s="10">
        <f t="shared" si="1"/>
        <v>183</v>
      </c>
      <c r="K336" s="7" t="s">
        <v>121</v>
      </c>
      <c r="P336" s="7">
        <v>52</v>
      </c>
      <c r="Q336" s="7">
        <v>84.8</v>
      </c>
      <c r="R336" s="7">
        <v>24.1</v>
      </c>
      <c r="S336" s="7">
        <v>86</v>
      </c>
      <c r="T336" s="7" t="s">
        <v>594</v>
      </c>
      <c r="U336" s="7" t="s">
        <v>513</v>
      </c>
      <c r="V336" s="7" t="s">
        <v>355</v>
      </c>
      <c r="W336" s="7" t="s">
        <v>514</v>
      </c>
      <c r="X336" s="7" t="s">
        <v>91</v>
      </c>
      <c r="Y336" s="7" t="s">
        <v>658</v>
      </c>
      <c r="AA336" s="7">
        <v>0.07</v>
      </c>
      <c r="AB336" s="7">
        <v>1.52</v>
      </c>
      <c r="AC336" s="7">
        <v>0.011</v>
      </c>
      <c r="AD336" s="7">
        <v>0.001</v>
      </c>
      <c r="AE336" s="7">
        <v>0.253</v>
      </c>
      <c r="AF336" s="7">
        <v>0.13</v>
      </c>
      <c r="AG336" s="7">
        <v>0.03</v>
      </c>
      <c r="AH336" s="7">
        <v>0.61</v>
      </c>
      <c r="AI336" s="7">
        <v>0.02</v>
      </c>
      <c r="AJ336" s="7">
        <v>0.004</v>
      </c>
      <c r="AK336" s="7">
        <v>0.036</v>
      </c>
      <c r="AL336" s="7">
        <v>0.005</v>
      </c>
      <c r="AM336" s="7">
        <v>0.012</v>
      </c>
      <c r="AN336" s="7">
        <v>0.012</v>
      </c>
      <c r="AO336" s="7">
        <v>0.0001</v>
      </c>
      <c r="AP336" s="7">
        <v>0.0065</v>
      </c>
      <c r="AQ336" s="7">
        <v>0.0018</v>
      </c>
    </row>
    <row r="337" ht="30" customHeight="1">
      <c r="A337" s="6">
        <v>5657958.001</v>
      </c>
      <c r="C337" s="7" t="s">
        <v>43</v>
      </c>
      <c r="D337" s="7" t="s">
        <v>567</v>
      </c>
      <c r="E337" s="6">
        <v>0.07</v>
      </c>
      <c r="F337" s="7" t="s">
        <v>45</v>
      </c>
      <c r="G337" s="8">
        <v>45.13</v>
      </c>
      <c r="H337" s="9">
        <v>11260</v>
      </c>
      <c r="I337" s="10">
        <f t="shared" si="0"/>
        <v>5.63</v>
      </c>
      <c r="J337" s="10">
        <f t="shared" si="1"/>
        <v>112.6</v>
      </c>
      <c r="K337" s="7" t="s">
        <v>629</v>
      </c>
      <c r="P337" s="7">
        <v>67.4</v>
      </c>
      <c r="Q337" s="7">
        <v>84.1</v>
      </c>
      <c r="R337" s="7">
        <v>23.9</v>
      </c>
      <c r="T337" s="7" t="s">
        <v>575</v>
      </c>
      <c r="U337" s="7" t="s">
        <v>545</v>
      </c>
      <c r="V337" s="7" t="s">
        <v>355</v>
      </c>
      <c r="W337" s="7" t="s">
        <v>91</v>
      </c>
      <c r="X337" s="7" t="s">
        <v>514</v>
      </c>
      <c r="Y337" s="7" t="s">
        <v>115</v>
      </c>
      <c r="Z337" s="7" t="s">
        <v>659</v>
      </c>
      <c r="AA337" s="7">
        <v>0.05</v>
      </c>
      <c r="AB337" s="7">
        <v>1.28</v>
      </c>
      <c r="AC337" s="7">
        <v>0.014</v>
      </c>
      <c r="AD337" s="7">
        <v>0.001</v>
      </c>
      <c r="AE337" s="7">
        <v>0.271</v>
      </c>
      <c r="AF337" s="7">
        <v>0.13</v>
      </c>
      <c r="AG337" s="7">
        <v>0.03</v>
      </c>
      <c r="AH337" s="7">
        <v>0.07</v>
      </c>
      <c r="AI337" s="7">
        <v>0.01</v>
      </c>
      <c r="AJ337" s="7">
        <v>0.005</v>
      </c>
      <c r="AK337" s="7">
        <v>0.028</v>
      </c>
      <c r="AL337" s="7">
        <v>0.004</v>
      </c>
      <c r="AM337" s="7">
        <v>0.033</v>
      </c>
      <c r="AN337" s="7">
        <v>0.001</v>
      </c>
      <c r="AO337" s="7">
        <v>0.0002</v>
      </c>
      <c r="AP337" s="7">
        <v>0.0062</v>
      </c>
      <c r="AQ337" s="7">
        <v>0.0009</v>
      </c>
    </row>
    <row r="338" ht="30" customHeight="1">
      <c r="A338" s="6">
        <v>5678451</v>
      </c>
      <c r="C338" s="7" t="s">
        <v>43</v>
      </c>
      <c r="D338" s="7" t="s">
        <v>567</v>
      </c>
      <c r="E338" s="6">
        <v>0.071</v>
      </c>
      <c r="F338" s="7" t="s">
        <v>45</v>
      </c>
      <c r="G338" s="8">
        <v>45.13</v>
      </c>
      <c r="H338" s="9">
        <v>34080</v>
      </c>
      <c r="I338" s="10">
        <f t="shared" si="0"/>
        <v>17.04</v>
      </c>
      <c r="J338" s="10">
        <f t="shared" si="1"/>
        <v>340.8</v>
      </c>
      <c r="K338" s="7" t="s">
        <v>629</v>
      </c>
      <c r="L338" s="7">
        <v>82.8</v>
      </c>
      <c r="M338" s="7">
        <v>96.1</v>
      </c>
      <c r="N338" s="7">
        <v>18.2</v>
      </c>
      <c r="P338" s="7">
        <v>97.3</v>
      </c>
      <c r="Q338" s="7">
        <v>103.4</v>
      </c>
      <c r="R338" s="7">
        <v>17</v>
      </c>
      <c r="S338" s="7">
        <v>95</v>
      </c>
      <c r="T338" s="7" t="s">
        <v>572</v>
      </c>
      <c r="U338" s="7" t="s">
        <v>498</v>
      </c>
      <c r="V338" s="7" t="s">
        <v>355</v>
      </c>
      <c r="W338" s="7" t="s">
        <v>514</v>
      </c>
      <c r="X338" s="7" t="s">
        <v>660</v>
      </c>
      <c r="AA338" s="7">
        <v>0.06</v>
      </c>
      <c r="AB338" s="7">
        <v>1.29</v>
      </c>
      <c r="AC338" s="7">
        <v>0.014</v>
      </c>
      <c r="AD338" s="7">
        <v>0.001</v>
      </c>
      <c r="AE338" s="7">
        <v>0.261</v>
      </c>
      <c r="AF338" s="7">
        <v>0.14</v>
      </c>
      <c r="AG338" s="7">
        <v>0.03</v>
      </c>
      <c r="AH338" s="7">
        <v>0.07</v>
      </c>
      <c r="AI338" s="7">
        <v>0.01</v>
      </c>
      <c r="AJ338" s="7">
        <v>0.005</v>
      </c>
      <c r="AK338" s="7">
        <v>0.027</v>
      </c>
      <c r="AL338" s="7">
        <v>0.004</v>
      </c>
      <c r="AM338" s="7">
        <v>0.034</v>
      </c>
      <c r="AN338" s="7">
        <v>0.001</v>
      </c>
      <c r="AO338" s="7">
        <v>0.0002</v>
      </c>
      <c r="AP338" s="7">
        <v>0.0066</v>
      </c>
      <c r="AQ338" s="7">
        <v>0.0012</v>
      </c>
    </row>
    <row r="339" ht="30" customHeight="1">
      <c r="A339" s="6">
        <v>5702086</v>
      </c>
      <c r="C339" s="7" t="s">
        <v>51</v>
      </c>
      <c r="D339" s="7" t="s">
        <v>567</v>
      </c>
      <c r="E339" s="6">
        <v>0.071</v>
      </c>
      <c r="F339" s="7" t="s">
        <v>45</v>
      </c>
      <c r="G339" s="8">
        <v>51.88</v>
      </c>
      <c r="H339" s="9">
        <v>46760</v>
      </c>
      <c r="I339" s="10">
        <f t="shared" si="0"/>
        <v>23.38</v>
      </c>
      <c r="J339" s="10">
        <f t="shared" si="1"/>
        <v>467.6</v>
      </c>
      <c r="K339" s="7" t="s">
        <v>457</v>
      </c>
      <c r="L339" s="7">
        <v>96.2</v>
      </c>
      <c r="M339" s="7">
        <v>105.2</v>
      </c>
      <c r="N339" s="7">
        <v>17</v>
      </c>
      <c r="P339" s="7">
        <v>99.3</v>
      </c>
      <c r="Q339" s="7">
        <v>106.5</v>
      </c>
      <c r="R339" s="7">
        <v>15.9</v>
      </c>
      <c r="S339" s="7">
        <v>95</v>
      </c>
      <c r="T339" s="7" t="s">
        <v>572</v>
      </c>
      <c r="U339" s="7" t="s">
        <v>498</v>
      </c>
      <c r="V339" s="7" t="s">
        <v>355</v>
      </c>
      <c r="W339" s="7" t="s">
        <v>661</v>
      </c>
      <c r="X339" s="7" t="s">
        <v>662</v>
      </c>
      <c r="Y339" s="7" t="s">
        <v>663</v>
      </c>
      <c r="Z339" s="7" t="s">
        <v>664</v>
      </c>
      <c r="AA339" s="7">
        <v>0.05</v>
      </c>
      <c r="AB339" s="7">
        <v>1.41</v>
      </c>
      <c r="AC339" s="7">
        <v>0.012</v>
      </c>
      <c r="AD339" s="7">
        <v>0.001</v>
      </c>
      <c r="AE339" s="7">
        <v>0.323</v>
      </c>
      <c r="AF339" s="7">
        <v>0.12</v>
      </c>
      <c r="AG339" s="7">
        <v>0.03</v>
      </c>
      <c r="AH339" s="7">
        <v>0.05</v>
      </c>
      <c r="AI339" s="7">
        <v>0.01</v>
      </c>
      <c r="AJ339" s="7">
        <v>0.005</v>
      </c>
      <c r="AK339" s="7">
        <v>0.031</v>
      </c>
      <c r="AL339" s="7">
        <v>0.005</v>
      </c>
      <c r="AM339" s="7">
        <v>0.049</v>
      </c>
      <c r="AN339" s="7">
        <v>0.002</v>
      </c>
      <c r="AO339" s="7">
        <v>0.0005</v>
      </c>
      <c r="AP339" s="7">
        <v>0.0058</v>
      </c>
      <c r="AQ339" s="7">
        <v>0.0017</v>
      </c>
    </row>
    <row r="340" ht="30" customHeight="1">
      <c r="A340" s="6">
        <v>5657942.903</v>
      </c>
      <c r="C340" s="7" t="s">
        <v>43</v>
      </c>
      <c r="D340" s="7" t="s">
        <v>567</v>
      </c>
      <c r="E340" s="6">
        <v>0.071</v>
      </c>
      <c r="F340" s="7" t="s">
        <v>45</v>
      </c>
      <c r="G340" s="8">
        <v>52.31</v>
      </c>
      <c r="H340" s="9">
        <v>22480</v>
      </c>
      <c r="I340" s="10">
        <f t="shared" si="0"/>
        <v>11.24</v>
      </c>
      <c r="J340" s="10">
        <f t="shared" si="1"/>
        <v>224.8</v>
      </c>
      <c r="K340" s="7" t="s">
        <v>629</v>
      </c>
      <c r="P340" s="7">
        <v>90.5</v>
      </c>
      <c r="Q340" s="7">
        <v>103</v>
      </c>
      <c r="R340" s="7">
        <v>14.2</v>
      </c>
      <c r="S340" s="7">
        <v>94</v>
      </c>
      <c r="T340" s="7" t="s">
        <v>568</v>
      </c>
      <c r="U340" s="7" t="s">
        <v>498</v>
      </c>
      <c r="V340" s="7" t="s">
        <v>355</v>
      </c>
      <c r="W340" s="7" t="s">
        <v>514</v>
      </c>
      <c r="X340" s="7" t="s">
        <v>253</v>
      </c>
      <c r="Y340" s="7" t="s">
        <v>445</v>
      </c>
      <c r="AA340" s="7">
        <v>0.06</v>
      </c>
      <c r="AB340" s="7">
        <v>1.27</v>
      </c>
      <c r="AC340" s="7">
        <v>0.013</v>
      </c>
      <c r="AD340" s="7">
        <v>0.002</v>
      </c>
      <c r="AE340" s="7">
        <v>0.251</v>
      </c>
      <c r="AF340" s="7">
        <v>0.13</v>
      </c>
      <c r="AG340" s="7">
        <v>0.02</v>
      </c>
      <c r="AH340" s="7">
        <v>0.06</v>
      </c>
      <c r="AI340" s="7">
        <v>0.01</v>
      </c>
      <c r="AJ340" s="7">
        <v>0.005</v>
      </c>
      <c r="AK340" s="7">
        <v>0.031</v>
      </c>
      <c r="AL340" s="7">
        <v>0.004</v>
      </c>
      <c r="AM340" s="7">
        <v>0.031</v>
      </c>
      <c r="AN340" s="7">
        <v>0.001</v>
      </c>
      <c r="AO340" s="7">
        <v>0.0004</v>
      </c>
      <c r="AP340" s="7">
        <v>0.0079</v>
      </c>
      <c r="AQ340" s="7">
        <v>0.0019</v>
      </c>
    </row>
    <row r="341" ht="30" customHeight="1">
      <c r="A341" s="6">
        <v>5657944.902</v>
      </c>
      <c r="C341" s="7" t="s">
        <v>43</v>
      </c>
      <c r="D341" s="7" t="s">
        <v>567</v>
      </c>
      <c r="E341" s="6">
        <v>0.071</v>
      </c>
      <c r="F341" s="7" t="s">
        <v>45</v>
      </c>
      <c r="G341" s="8">
        <v>52.31</v>
      </c>
      <c r="H341" s="9">
        <v>31040</v>
      </c>
      <c r="I341" s="10">
        <f t="shared" si="0"/>
        <v>15.52</v>
      </c>
      <c r="J341" s="10">
        <f t="shared" si="1"/>
        <v>310.4</v>
      </c>
      <c r="K341" s="7" t="s">
        <v>629</v>
      </c>
      <c r="P341" s="7">
        <v>77.3</v>
      </c>
      <c r="Q341" s="7">
        <v>92.4</v>
      </c>
      <c r="R341" s="7">
        <v>18.5</v>
      </c>
      <c r="S341" s="7">
        <v>91</v>
      </c>
      <c r="T341" s="7" t="s">
        <v>577</v>
      </c>
      <c r="U341" s="7" t="s">
        <v>498</v>
      </c>
      <c r="V341" s="7" t="s">
        <v>355</v>
      </c>
      <c r="W341" s="7" t="s">
        <v>514</v>
      </c>
      <c r="X341" s="7" t="s">
        <v>556</v>
      </c>
      <c r="AA341" s="7">
        <v>0.06</v>
      </c>
      <c r="AB341" s="7">
        <v>1.27</v>
      </c>
      <c r="AC341" s="7">
        <v>0.013</v>
      </c>
      <c r="AD341" s="7">
        <v>0.002</v>
      </c>
      <c r="AE341" s="7">
        <v>0.251</v>
      </c>
      <c r="AF341" s="7">
        <v>0.13</v>
      </c>
      <c r="AG341" s="7">
        <v>0.02</v>
      </c>
      <c r="AH341" s="7">
        <v>0.06</v>
      </c>
      <c r="AI341" s="7">
        <v>0.01</v>
      </c>
      <c r="AJ341" s="7">
        <v>0.005</v>
      </c>
      <c r="AK341" s="7">
        <v>0.031</v>
      </c>
      <c r="AL341" s="7">
        <v>0.004</v>
      </c>
      <c r="AM341" s="7">
        <v>0.031</v>
      </c>
      <c r="AN341" s="7">
        <v>0.001</v>
      </c>
      <c r="AO341" s="7">
        <v>0.0004</v>
      </c>
      <c r="AP341" s="7">
        <v>0.0079</v>
      </c>
      <c r="AQ341" s="7">
        <v>0.0019</v>
      </c>
    </row>
    <row r="342" ht="30" customHeight="1">
      <c r="A342" s="6">
        <v>5657944.901</v>
      </c>
      <c r="C342" s="7" t="s">
        <v>43</v>
      </c>
      <c r="D342" s="7" t="s">
        <v>567</v>
      </c>
      <c r="E342" s="6">
        <v>0.071</v>
      </c>
      <c r="F342" s="7" t="s">
        <v>45</v>
      </c>
      <c r="G342" s="8">
        <v>52.31</v>
      </c>
      <c r="H342" s="9">
        <v>32560</v>
      </c>
      <c r="I342" s="10">
        <f t="shared" si="0"/>
        <v>16.28</v>
      </c>
      <c r="J342" s="10">
        <f t="shared" si="1"/>
        <v>325.6</v>
      </c>
      <c r="K342" s="7" t="s">
        <v>629</v>
      </c>
      <c r="P342" s="7">
        <v>77.3</v>
      </c>
      <c r="Q342" s="7">
        <v>92.4</v>
      </c>
      <c r="R342" s="7">
        <v>18.5</v>
      </c>
      <c r="S342" s="7">
        <v>91</v>
      </c>
      <c r="T342" s="7" t="s">
        <v>577</v>
      </c>
      <c r="U342" s="7" t="s">
        <v>498</v>
      </c>
      <c r="V342" s="7" t="s">
        <v>355</v>
      </c>
      <c r="W342" s="7" t="s">
        <v>514</v>
      </c>
      <c r="X342" s="7" t="s">
        <v>556</v>
      </c>
      <c r="AA342" s="7">
        <v>0.06</v>
      </c>
      <c r="AB342" s="7">
        <v>1.27</v>
      </c>
      <c r="AC342" s="7">
        <v>0.013</v>
      </c>
      <c r="AD342" s="7">
        <v>0.002</v>
      </c>
      <c r="AE342" s="7">
        <v>0.251</v>
      </c>
      <c r="AF342" s="7">
        <v>0.13</v>
      </c>
      <c r="AG342" s="7">
        <v>0.02</v>
      </c>
      <c r="AH342" s="7">
        <v>0.06</v>
      </c>
      <c r="AI342" s="7">
        <v>0.01</v>
      </c>
      <c r="AJ342" s="7">
        <v>0.005</v>
      </c>
      <c r="AK342" s="7">
        <v>0.031</v>
      </c>
      <c r="AL342" s="7">
        <v>0.004</v>
      </c>
      <c r="AM342" s="7">
        <v>0.031</v>
      </c>
      <c r="AN342" s="7">
        <v>0.001</v>
      </c>
      <c r="AO342" s="7">
        <v>0.0004</v>
      </c>
      <c r="AP342" s="7">
        <v>0.0079</v>
      </c>
      <c r="AQ342" s="7">
        <v>0.0019</v>
      </c>
    </row>
    <row r="343" ht="30" customHeight="1">
      <c r="A343" s="6">
        <v>5657942.902</v>
      </c>
      <c r="C343" s="7" t="s">
        <v>43</v>
      </c>
      <c r="D343" s="7" t="s">
        <v>567</v>
      </c>
      <c r="E343" s="6">
        <v>0.071</v>
      </c>
      <c r="F343" s="7" t="s">
        <v>45</v>
      </c>
      <c r="G343" s="8">
        <v>52.31</v>
      </c>
      <c r="H343" s="9">
        <v>32740</v>
      </c>
      <c r="I343" s="10">
        <f t="shared" si="0"/>
        <v>16.37</v>
      </c>
      <c r="J343" s="10">
        <f t="shared" si="1"/>
        <v>327.4</v>
      </c>
      <c r="K343" s="7" t="s">
        <v>629</v>
      </c>
      <c r="P343" s="7">
        <v>90.5</v>
      </c>
      <c r="Q343" s="7">
        <v>103</v>
      </c>
      <c r="R343" s="7">
        <v>14.2</v>
      </c>
      <c r="S343" s="7">
        <v>94</v>
      </c>
      <c r="T343" s="7" t="s">
        <v>568</v>
      </c>
      <c r="U343" s="7" t="s">
        <v>498</v>
      </c>
      <c r="V343" s="7" t="s">
        <v>355</v>
      </c>
      <c r="W343" s="7" t="s">
        <v>514</v>
      </c>
      <c r="X343" s="7" t="s">
        <v>253</v>
      </c>
      <c r="Y343" s="7" t="s">
        <v>445</v>
      </c>
      <c r="AA343" s="7">
        <v>0.06</v>
      </c>
      <c r="AB343" s="7">
        <v>1.27</v>
      </c>
      <c r="AC343" s="7">
        <v>0.013</v>
      </c>
      <c r="AD343" s="7">
        <v>0.002</v>
      </c>
      <c r="AE343" s="7">
        <v>0.251</v>
      </c>
      <c r="AF343" s="7">
        <v>0.13</v>
      </c>
      <c r="AG343" s="7">
        <v>0.02</v>
      </c>
      <c r="AH343" s="7">
        <v>0.06</v>
      </c>
      <c r="AI343" s="7">
        <v>0.01</v>
      </c>
      <c r="AJ343" s="7">
        <v>0.005</v>
      </c>
      <c r="AK343" s="7">
        <v>0.031</v>
      </c>
      <c r="AL343" s="7">
        <v>0.004</v>
      </c>
      <c r="AM343" s="7">
        <v>0.031</v>
      </c>
      <c r="AN343" s="7">
        <v>0.001</v>
      </c>
      <c r="AO343" s="7">
        <v>0.0004</v>
      </c>
      <c r="AP343" s="7">
        <v>0.0079</v>
      </c>
      <c r="AQ343" s="7">
        <v>0.0019</v>
      </c>
    </row>
    <row r="344" ht="30" customHeight="1">
      <c r="A344" s="6">
        <v>5706577.901</v>
      </c>
      <c r="C344" s="7" t="s">
        <v>43</v>
      </c>
      <c r="D344" s="7" t="s">
        <v>567</v>
      </c>
      <c r="E344" s="6">
        <v>0.071</v>
      </c>
      <c r="F344" s="7" t="s">
        <v>45</v>
      </c>
      <c r="G344" s="8">
        <v>52.31</v>
      </c>
      <c r="H344" s="9">
        <v>32760</v>
      </c>
      <c r="I344" s="10">
        <f t="shared" si="0"/>
        <v>16.38</v>
      </c>
      <c r="J344" s="10">
        <f t="shared" si="1"/>
        <v>327.6</v>
      </c>
      <c r="K344" s="7" t="s">
        <v>629</v>
      </c>
      <c r="P344" s="7">
        <v>78.7</v>
      </c>
      <c r="Q344" s="7">
        <v>91.7</v>
      </c>
      <c r="R344" s="7">
        <v>18.4</v>
      </c>
      <c r="S344" s="7">
        <v>91</v>
      </c>
      <c r="T344" s="7" t="s">
        <v>577</v>
      </c>
      <c r="U344" s="7" t="s">
        <v>498</v>
      </c>
      <c r="V344" s="7" t="s">
        <v>355</v>
      </c>
      <c r="W344" s="7" t="s">
        <v>514</v>
      </c>
      <c r="X344" s="7" t="s">
        <v>556</v>
      </c>
      <c r="AA344" s="7">
        <v>0.06</v>
      </c>
      <c r="AB344" s="7">
        <v>1.27</v>
      </c>
      <c r="AC344" s="7">
        <v>0.013</v>
      </c>
      <c r="AD344" s="7">
        <v>0.002</v>
      </c>
      <c r="AE344" s="7">
        <v>0.251</v>
      </c>
      <c r="AF344" s="7">
        <v>0.13</v>
      </c>
      <c r="AG344" s="7">
        <v>0.02</v>
      </c>
      <c r="AH344" s="7">
        <v>0.06</v>
      </c>
      <c r="AI344" s="7">
        <v>0.01</v>
      </c>
      <c r="AJ344" s="7">
        <v>0.005</v>
      </c>
      <c r="AK344" s="7">
        <v>0.031</v>
      </c>
      <c r="AL344" s="7">
        <v>0.004</v>
      </c>
      <c r="AM344" s="7">
        <v>0.031</v>
      </c>
      <c r="AN344" s="7">
        <v>0.001</v>
      </c>
      <c r="AO344" s="7">
        <v>0.0004</v>
      </c>
      <c r="AP344" s="7">
        <v>0.0079</v>
      </c>
      <c r="AQ344" s="7">
        <v>0.0019</v>
      </c>
    </row>
    <row r="345" ht="30" customHeight="1">
      <c r="A345" s="6">
        <v>5692103</v>
      </c>
      <c r="C345" s="7" t="s">
        <v>43</v>
      </c>
      <c r="D345" s="7" t="s">
        <v>567</v>
      </c>
      <c r="E345" s="6">
        <v>0.071</v>
      </c>
      <c r="F345" s="7" t="s">
        <v>45</v>
      </c>
      <c r="G345" s="8">
        <v>53.88</v>
      </c>
      <c r="H345" s="9">
        <v>43640</v>
      </c>
      <c r="I345" s="10">
        <f t="shared" si="0"/>
        <v>21.82</v>
      </c>
      <c r="J345" s="10">
        <f t="shared" si="1"/>
        <v>436.4</v>
      </c>
      <c r="K345" s="7" t="s">
        <v>629</v>
      </c>
      <c r="P345" s="7">
        <v>88.6</v>
      </c>
      <c r="Q345" s="7">
        <v>99.4</v>
      </c>
      <c r="R345" s="7">
        <v>18.1</v>
      </c>
      <c r="S345" s="7">
        <v>93</v>
      </c>
      <c r="T345" s="7" t="s">
        <v>577</v>
      </c>
      <c r="U345" s="7" t="s">
        <v>498</v>
      </c>
      <c r="V345" s="7" t="s">
        <v>355</v>
      </c>
      <c r="W345" s="7" t="s">
        <v>514</v>
      </c>
      <c r="X345" s="7" t="s">
        <v>556</v>
      </c>
      <c r="Y345" s="7" t="s">
        <v>651</v>
      </c>
      <c r="Z345" s="7" t="s">
        <v>665</v>
      </c>
      <c r="AA345" s="7">
        <v>0.06</v>
      </c>
      <c r="AB345" s="7">
        <v>1.29</v>
      </c>
      <c r="AC345" s="7">
        <v>0.013</v>
      </c>
      <c r="AD345" s="7">
        <v>0</v>
      </c>
      <c r="AE345" s="7">
        <v>0.306</v>
      </c>
      <c r="AF345" s="7">
        <v>0.12</v>
      </c>
      <c r="AG345" s="7">
        <v>0.03</v>
      </c>
      <c r="AH345" s="7">
        <v>0.07</v>
      </c>
      <c r="AI345" s="7">
        <v>0.01</v>
      </c>
      <c r="AJ345" s="7">
        <v>0.005</v>
      </c>
      <c r="AK345" s="7">
        <v>0.031</v>
      </c>
      <c r="AL345" s="7">
        <v>0.005</v>
      </c>
      <c r="AM345" s="7">
        <v>0.038</v>
      </c>
      <c r="AN345" s="7">
        <v>0.002</v>
      </c>
      <c r="AO345" s="7">
        <v>0.0005</v>
      </c>
      <c r="AP345" s="7">
        <v>0.0062</v>
      </c>
      <c r="AQ345" s="7">
        <v>0.0022</v>
      </c>
    </row>
    <row r="346" ht="30" customHeight="1">
      <c r="A346" s="6">
        <v>5678425.902</v>
      </c>
      <c r="C346" s="7" t="s">
        <v>51</v>
      </c>
      <c r="D346" s="7" t="s">
        <v>567</v>
      </c>
      <c r="E346" s="6">
        <v>0.071</v>
      </c>
      <c r="F346" s="7" t="s">
        <v>45</v>
      </c>
      <c r="G346" s="8">
        <v>58.38</v>
      </c>
      <c r="H346" s="9">
        <v>29900</v>
      </c>
      <c r="I346" s="10">
        <f t="shared" si="0"/>
        <v>14.95</v>
      </c>
      <c r="J346" s="10">
        <f t="shared" si="1"/>
        <v>299</v>
      </c>
      <c r="K346" s="7" t="s">
        <v>457</v>
      </c>
      <c r="L346" s="7">
        <v>76.9</v>
      </c>
      <c r="M346" s="7">
        <v>88.3</v>
      </c>
      <c r="N346" s="7">
        <v>23.1</v>
      </c>
      <c r="P346" s="7">
        <v>79</v>
      </c>
      <c r="Q346" s="7">
        <v>91.7</v>
      </c>
      <c r="R346" s="7">
        <v>20.6</v>
      </c>
      <c r="S346" s="7">
        <v>89</v>
      </c>
      <c r="T346" s="7" t="s">
        <v>666</v>
      </c>
      <c r="U346" s="7" t="s">
        <v>498</v>
      </c>
      <c r="V346" s="7" t="s">
        <v>355</v>
      </c>
      <c r="W346" s="7" t="s">
        <v>667</v>
      </c>
      <c r="X346" s="7" t="s">
        <v>98</v>
      </c>
      <c r="Y346" s="7" t="s">
        <v>668</v>
      </c>
      <c r="Z346" s="7" t="s">
        <v>669</v>
      </c>
      <c r="AA346" s="7">
        <v>0.06</v>
      </c>
      <c r="AB346" s="7">
        <v>1.45</v>
      </c>
      <c r="AC346" s="7">
        <v>0.013</v>
      </c>
      <c r="AD346" s="7">
        <v>0.001</v>
      </c>
      <c r="AE346" s="7">
        <v>0.315</v>
      </c>
      <c r="AF346" s="7">
        <v>0.12</v>
      </c>
      <c r="AG346" s="7">
        <v>0.03</v>
      </c>
      <c r="AH346" s="7">
        <v>0.06</v>
      </c>
      <c r="AI346" s="7">
        <v>0.01</v>
      </c>
      <c r="AJ346" s="7">
        <v>0.005</v>
      </c>
      <c r="AK346" s="7">
        <v>0.037</v>
      </c>
      <c r="AL346" s="7">
        <v>0.006</v>
      </c>
      <c r="AM346" s="7">
        <v>0.048</v>
      </c>
      <c r="AN346" s="7">
        <v>0.002</v>
      </c>
      <c r="AO346" s="7">
        <v>0.0008</v>
      </c>
      <c r="AP346" s="7">
        <v>0.0065</v>
      </c>
      <c r="AQ346" s="7">
        <v>0.0024</v>
      </c>
    </row>
    <row r="347" ht="30" customHeight="1">
      <c r="A347" s="6">
        <v>5678425.903</v>
      </c>
      <c r="C347" s="7" t="s">
        <v>51</v>
      </c>
      <c r="D347" s="7" t="s">
        <v>567</v>
      </c>
      <c r="E347" s="6">
        <v>0.071</v>
      </c>
      <c r="F347" s="7" t="s">
        <v>45</v>
      </c>
      <c r="G347" s="8">
        <v>58.38</v>
      </c>
      <c r="H347" s="9">
        <v>30600</v>
      </c>
      <c r="I347" s="10">
        <f t="shared" si="0"/>
        <v>15.3</v>
      </c>
      <c r="J347" s="10">
        <f t="shared" si="1"/>
        <v>306</v>
      </c>
      <c r="K347" s="7" t="s">
        <v>457</v>
      </c>
      <c r="L347" s="7">
        <v>76.9</v>
      </c>
      <c r="M347" s="7">
        <v>88.3</v>
      </c>
      <c r="N347" s="7">
        <v>23.1</v>
      </c>
      <c r="P347" s="7">
        <v>79</v>
      </c>
      <c r="Q347" s="7">
        <v>91.7</v>
      </c>
      <c r="R347" s="7">
        <v>20.6</v>
      </c>
      <c r="S347" s="7">
        <v>89</v>
      </c>
      <c r="T347" s="7" t="s">
        <v>666</v>
      </c>
      <c r="U347" s="7" t="s">
        <v>498</v>
      </c>
      <c r="V347" s="7" t="s">
        <v>355</v>
      </c>
      <c r="W347" s="7" t="s">
        <v>667</v>
      </c>
      <c r="X347" s="7" t="s">
        <v>514</v>
      </c>
      <c r="Y347" s="7" t="s">
        <v>670</v>
      </c>
      <c r="Z347" s="7" t="s">
        <v>671</v>
      </c>
      <c r="AA347" s="7">
        <v>0.06</v>
      </c>
      <c r="AB347" s="7">
        <v>1.45</v>
      </c>
      <c r="AC347" s="7">
        <v>0.013</v>
      </c>
      <c r="AD347" s="7">
        <v>0.001</v>
      </c>
      <c r="AE347" s="7">
        <v>0.315</v>
      </c>
      <c r="AF347" s="7">
        <v>0.12</v>
      </c>
      <c r="AG347" s="7">
        <v>0.03</v>
      </c>
      <c r="AH347" s="7">
        <v>0.06</v>
      </c>
      <c r="AI347" s="7">
        <v>0.01</v>
      </c>
      <c r="AJ347" s="7">
        <v>0.005</v>
      </c>
      <c r="AK347" s="7">
        <v>0.037</v>
      </c>
      <c r="AL347" s="7">
        <v>0.006</v>
      </c>
      <c r="AM347" s="7">
        <v>0.048</v>
      </c>
      <c r="AN347" s="7">
        <v>0.002</v>
      </c>
      <c r="AO347" s="7">
        <v>0.0008</v>
      </c>
      <c r="AP347" s="7">
        <v>0.0065</v>
      </c>
      <c r="AQ347" s="7">
        <v>0.0024</v>
      </c>
    </row>
    <row r="348" ht="30" customHeight="1">
      <c r="A348" s="6">
        <v>5587344.002</v>
      </c>
      <c r="C348" s="7" t="s">
        <v>51</v>
      </c>
      <c r="D348" s="7" t="s">
        <v>567</v>
      </c>
      <c r="E348" s="6">
        <v>0.071</v>
      </c>
      <c r="F348" s="7" t="s">
        <v>63</v>
      </c>
      <c r="G348" s="8">
        <v>62.69</v>
      </c>
      <c r="H348" s="9">
        <v>20060</v>
      </c>
      <c r="I348" s="10">
        <f t="shared" si="0"/>
        <v>10.03</v>
      </c>
      <c r="J348" s="10">
        <f t="shared" si="1"/>
        <v>200.6</v>
      </c>
      <c r="K348" s="7" t="s">
        <v>457</v>
      </c>
      <c r="L348" s="7">
        <v>65.1</v>
      </c>
      <c r="M348" s="7">
        <v>84.9</v>
      </c>
      <c r="N348" s="7">
        <v>24.3</v>
      </c>
      <c r="T348" s="7" t="s">
        <v>575</v>
      </c>
      <c r="U348" s="7" t="s">
        <v>545</v>
      </c>
      <c r="V348" s="7" t="s">
        <v>355</v>
      </c>
      <c r="W348" s="7" t="s">
        <v>672</v>
      </c>
      <c r="X348" s="7" t="s">
        <v>365</v>
      </c>
      <c r="Y348" s="7" t="s">
        <v>115</v>
      </c>
      <c r="Z348" s="7" t="s">
        <v>673</v>
      </c>
      <c r="AA348" s="7">
        <v>0.06</v>
      </c>
      <c r="AB348" s="7">
        <v>1.47</v>
      </c>
      <c r="AC348" s="7">
        <v>0.013</v>
      </c>
      <c r="AD348" s="7">
        <v>0.001</v>
      </c>
      <c r="AE348" s="7">
        <v>0.343</v>
      </c>
      <c r="AF348" s="7">
        <v>0.14</v>
      </c>
      <c r="AG348" s="7">
        <v>0.03</v>
      </c>
      <c r="AH348" s="7">
        <v>0.09</v>
      </c>
      <c r="AI348" s="7">
        <v>0.01</v>
      </c>
      <c r="AJ348" s="7">
        <v>0.005</v>
      </c>
      <c r="AK348" s="7">
        <v>0.031</v>
      </c>
      <c r="AL348" s="7">
        <v>0.006</v>
      </c>
      <c r="AM348" s="7">
        <v>0.045</v>
      </c>
      <c r="AN348" s="7">
        <v>0.002</v>
      </c>
      <c r="AO348" s="7">
        <v>0.0001</v>
      </c>
      <c r="AP348" s="7">
        <v>0.0061</v>
      </c>
      <c r="AQ348" s="7">
        <v>0.0017</v>
      </c>
    </row>
    <row r="349" ht="30" customHeight="1">
      <c r="A349" s="6">
        <v>5587344.001</v>
      </c>
      <c r="C349" s="7" t="s">
        <v>51</v>
      </c>
      <c r="D349" s="7" t="s">
        <v>567</v>
      </c>
      <c r="E349" s="6">
        <v>0.071</v>
      </c>
      <c r="F349" s="7" t="s">
        <v>63</v>
      </c>
      <c r="G349" s="8">
        <v>62.69</v>
      </c>
      <c r="H349" s="9">
        <v>22540</v>
      </c>
      <c r="I349" s="10">
        <f t="shared" si="0"/>
        <v>11.27</v>
      </c>
      <c r="J349" s="10">
        <f t="shared" si="1"/>
        <v>225.4</v>
      </c>
      <c r="K349" s="7" t="s">
        <v>457</v>
      </c>
      <c r="L349" s="7">
        <v>65.1</v>
      </c>
      <c r="M349" s="7">
        <v>84.9</v>
      </c>
      <c r="N349" s="7">
        <v>24.3</v>
      </c>
      <c r="T349" s="7" t="s">
        <v>575</v>
      </c>
      <c r="U349" s="7" t="s">
        <v>545</v>
      </c>
      <c r="V349" s="7" t="s">
        <v>355</v>
      </c>
      <c r="W349" s="7" t="s">
        <v>672</v>
      </c>
      <c r="X349" s="7" t="s">
        <v>365</v>
      </c>
      <c r="Y349" s="7" t="s">
        <v>115</v>
      </c>
      <c r="Z349" s="7" t="s">
        <v>673</v>
      </c>
      <c r="AA349" s="7">
        <v>0.06</v>
      </c>
      <c r="AB349" s="7">
        <v>1.47</v>
      </c>
      <c r="AC349" s="7">
        <v>0.013</v>
      </c>
      <c r="AD349" s="7">
        <v>0.001</v>
      </c>
      <c r="AE349" s="7">
        <v>0.343</v>
      </c>
      <c r="AF349" s="7">
        <v>0.14</v>
      </c>
      <c r="AG349" s="7">
        <v>0.03</v>
      </c>
      <c r="AH349" s="7">
        <v>0.09</v>
      </c>
      <c r="AI349" s="7">
        <v>0.01</v>
      </c>
      <c r="AJ349" s="7">
        <v>0.005</v>
      </c>
      <c r="AK349" s="7">
        <v>0.031</v>
      </c>
      <c r="AL349" s="7">
        <v>0.006</v>
      </c>
      <c r="AM349" s="7">
        <v>0.045</v>
      </c>
      <c r="AN349" s="7">
        <v>0.002</v>
      </c>
      <c r="AO349" s="7">
        <v>0.0001</v>
      </c>
      <c r="AP349" s="7">
        <v>0.0061</v>
      </c>
      <c r="AQ349" s="7">
        <v>0.0017</v>
      </c>
    </row>
    <row r="350" ht="15" customHeight="1">
      <c r="A350" s="6">
        <v>5632326.902</v>
      </c>
      <c r="C350" s="7" t="s">
        <v>51</v>
      </c>
      <c r="D350" s="7" t="s">
        <v>567</v>
      </c>
      <c r="E350" s="6">
        <v>0.072</v>
      </c>
      <c r="F350" s="7" t="s">
        <v>63</v>
      </c>
      <c r="G350" s="8">
        <v>53.06</v>
      </c>
      <c r="H350" s="9">
        <v>23640</v>
      </c>
      <c r="I350" s="10">
        <f t="shared" si="0"/>
        <v>11.82</v>
      </c>
      <c r="J350" s="10">
        <f t="shared" si="1"/>
        <v>236.4</v>
      </c>
      <c r="K350" s="7" t="s">
        <v>90</v>
      </c>
      <c r="S350" s="7">
        <v>65</v>
      </c>
      <c r="T350" s="7" t="s">
        <v>674</v>
      </c>
      <c r="U350" s="7" t="s">
        <v>493</v>
      </c>
      <c r="V350" s="7" t="s">
        <v>355</v>
      </c>
      <c r="W350" s="7" t="s">
        <v>675</v>
      </c>
      <c r="X350" s="7" t="s">
        <v>676</v>
      </c>
      <c r="Y350" s="7" t="s">
        <v>506</v>
      </c>
      <c r="AA350" s="7">
        <v>0.04</v>
      </c>
      <c r="AB350" s="7">
        <v>0.19</v>
      </c>
      <c r="AC350" s="7">
        <v>0.007</v>
      </c>
      <c r="AD350" s="7">
        <v>0.003</v>
      </c>
      <c r="AE350" s="7">
        <v>0.018</v>
      </c>
      <c r="AF350" s="7">
        <v>0.12</v>
      </c>
      <c r="AG350" s="7">
        <v>0.04</v>
      </c>
      <c r="AH350" s="7">
        <v>0.05</v>
      </c>
      <c r="AI350" s="7">
        <v>0.01</v>
      </c>
      <c r="AJ350" s="7">
        <v>0.002</v>
      </c>
      <c r="AK350" s="7">
        <v>0.025</v>
      </c>
      <c r="AL350" s="7">
        <v>0.002</v>
      </c>
      <c r="AM350" s="7">
        <v>0.001</v>
      </c>
      <c r="AN350" s="7">
        <v>0</v>
      </c>
      <c r="AO350" s="7">
        <v>0.0001</v>
      </c>
      <c r="AP350" s="7">
        <v>0.0053</v>
      </c>
      <c r="AQ350" s="7">
        <v>0.0016</v>
      </c>
    </row>
    <row r="351" ht="15" customHeight="1">
      <c r="A351" s="6">
        <v>5645082.902</v>
      </c>
      <c r="C351" s="7" t="s">
        <v>51</v>
      </c>
      <c r="D351" s="7" t="s">
        <v>567</v>
      </c>
      <c r="E351" s="6">
        <v>0.073</v>
      </c>
      <c r="F351" s="7" t="s">
        <v>63</v>
      </c>
      <c r="G351" s="8">
        <v>36.13</v>
      </c>
      <c r="H351" s="9">
        <v>21120</v>
      </c>
      <c r="I351" s="10">
        <f t="shared" si="0"/>
        <v>10.56</v>
      </c>
      <c r="J351" s="10">
        <f t="shared" si="1"/>
        <v>211.2</v>
      </c>
      <c r="K351" s="7" t="s">
        <v>90</v>
      </c>
      <c r="S351" s="7">
        <v>64</v>
      </c>
      <c r="T351" s="7" t="s">
        <v>674</v>
      </c>
      <c r="U351" s="7" t="s">
        <v>486</v>
      </c>
      <c r="V351" s="7" t="s">
        <v>47</v>
      </c>
      <c r="W351" s="7" t="s">
        <v>675</v>
      </c>
      <c r="X351" s="7" t="s">
        <v>676</v>
      </c>
      <c r="AA351" s="7">
        <v>0.05</v>
      </c>
      <c r="AB351" s="7">
        <v>0.19</v>
      </c>
      <c r="AC351" s="7">
        <v>0.008</v>
      </c>
      <c r="AD351" s="7">
        <v>0.002</v>
      </c>
      <c r="AE351" s="7">
        <v>0.024</v>
      </c>
      <c r="AF351" s="7">
        <v>0.11</v>
      </c>
      <c r="AG351" s="7">
        <v>0.03</v>
      </c>
      <c r="AH351" s="7">
        <v>0.05</v>
      </c>
      <c r="AI351" s="7">
        <v>0.01</v>
      </c>
      <c r="AJ351" s="7">
        <v>0.002</v>
      </c>
      <c r="AK351" s="7">
        <v>0.024</v>
      </c>
      <c r="AL351" s="7">
        <v>0.002</v>
      </c>
      <c r="AM351" s="7">
        <v>0.001</v>
      </c>
      <c r="AN351" s="7">
        <v>0</v>
      </c>
      <c r="AO351" s="7">
        <v>0.0003</v>
      </c>
      <c r="AP351" s="7">
        <v>0.0055</v>
      </c>
      <c r="AQ351" s="7">
        <v>0.0012</v>
      </c>
    </row>
    <row r="352" ht="30" customHeight="1">
      <c r="A352" s="6">
        <v>5637746.902</v>
      </c>
      <c r="C352" s="7" t="s">
        <v>43</v>
      </c>
      <c r="D352" s="7" t="s">
        <v>567</v>
      </c>
      <c r="E352" s="6">
        <v>0.078</v>
      </c>
      <c r="F352" s="7" t="s">
        <v>45</v>
      </c>
      <c r="G352" s="8">
        <v>57</v>
      </c>
      <c r="H352" s="9">
        <v>23300</v>
      </c>
      <c r="I352" s="10">
        <f t="shared" si="0"/>
        <v>11.65</v>
      </c>
      <c r="J352" s="10">
        <f t="shared" si="1"/>
        <v>233</v>
      </c>
      <c r="K352" s="7" t="s">
        <v>629</v>
      </c>
      <c r="L352" s="7">
        <v>77.5</v>
      </c>
      <c r="M352" s="7">
        <v>89.8</v>
      </c>
      <c r="N352" s="7">
        <v>20.7</v>
      </c>
      <c r="T352" s="7" t="s">
        <v>572</v>
      </c>
      <c r="U352" s="7" t="s">
        <v>498</v>
      </c>
      <c r="V352" s="7" t="s">
        <v>355</v>
      </c>
      <c r="W352" s="7" t="s">
        <v>345</v>
      </c>
      <c r="X352" s="7" t="s">
        <v>505</v>
      </c>
      <c r="Y352" s="7" t="s">
        <v>506</v>
      </c>
      <c r="AA352" s="7">
        <v>0.05</v>
      </c>
      <c r="AB352" s="7">
        <v>1.25</v>
      </c>
      <c r="AC352" s="7">
        <v>0.02</v>
      </c>
      <c r="AD352" s="7">
        <v>0.003</v>
      </c>
      <c r="AE352" s="7">
        <v>0.275</v>
      </c>
      <c r="AF352" s="7">
        <v>0.13</v>
      </c>
      <c r="AG352" s="7">
        <v>0.03</v>
      </c>
      <c r="AH352" s="7">
        <v>0.07</v>
      </c>
      <c r="AI352" s="7">
        <v>0.01</v>
      </c>
      <c r="AJ352" s="7">
        <v>0.005</v>
      </c>
      <c r="AK352" s="7">
        <v>0.02</v>
      </c>
      <c r="AL352" s="7">
        <v>0.005</v>
      </c>
      <c r="AM352" s="7">
        <v>0.033</v>
      </c>
      <c r="AN352" s="7">
        <v>0.001</v>
      </c>
      <c r="AO352" s="7">
        <v>0.0007</v>
      </c>
      <c r="AP352" s="7">
        <v>0.006</v>
      </c>
      <c r="AQ352" s="7">
        <v>0.002</v>
      </c>
    </row>
    <row r="353" ht="30" customHeight="1">
      <c r="A353" s="6">
        <v>5691280</v>
      </c>
      <c r="C353" s="7" t="s">
        <v>43</v>
      </c>
      <c r="D353" s="7" t="s">
        <v>567</v>
      </c>
      <c r="E353" s="6">
        <v>0.078</v>
      </c>
      <c r="F353" s="7" t="s">
        <v>63</v>
      </c>
      <c r="G353" s="8">
        <v>57.81</v>
      </c>
      <c r="H353" s="9">
        <v>53680</v>
      </c>
      <c r="I353" s="10">
        <f t="shared" si="0"/>
        <v>26.84</v>
      </c>
      <c r="J353" s="10">
        <f t="shared" si="1"/>
        <v>536.8</v>
      </c>
      <c r="K353" s="7" t="s">
        <v>457</v>
      </c>
      <c r="P353" s="7">
        <v>68.3</v>
      </c>
      <c r="Q353" s="7">
        <v>95</v>
      </c>
      <c r="R353" s="7">
        <v>20.2</v>
      </c>
      <c r="S353" s="7">
        <v>89</v>
      </c>
      <c r="T353" s="7" t="s">
        <v>594</v>
      </c>
      <c r="U353" s="7" t="s">
        <v>513</v>
      </c>
      <c r="V353" s="7" t="s">
        <v>355</v>
      </c>
      <c r="W353" s="7" t="s">
        <v>514</v>
      </c>
      <c r="AA353" s="7">
        <v>0.06</v>
      </c>
      <c r="AB353" s="7">
        <v>1.49</v>
      </c>
      <c r="AC353" s="7">
        <v>0.014</v>
      </c>
      <c r="AD353" s="7">
        <v>0.001</v>
      </c>
      <c r="AE353" s="7">
        <v>0.351</v>
      </c>
      <c r="AF353" s="7">
        <v>0.11</v>
      </c>
      <c r="AG353" s="7">
        <v>0.03</v>
      </c>
      <c r="AH353" s="7">
        <v>0.07</v>
      </c>
      <c r="AI353" s="7">
        <v>0.01</v>
      </c>
      <c r="AJ353" s="7">
        <v>0.006</v>
      </c>
      <c r="AK353" s="7">
        <v>0.044</v>
      </c>
      <c r="AL353" s="7">
        <v>0.005</v>
      </c>
      <c r="AM353" s="7">
        <v>0.05</v>
      </c>
      <c r="AN353" s="7">
        <v>0.003</v>
      </c>
      <c r="AO353" s="7">
        <v>0.0006</v>
      </c>
      <c r="AP353" s="7">
        <v>0.0061</v>
      </c>
      <c r="AQ353" s="7">
        <v>0.0024</v>
      </c>
    </row>
    <row r="354" ht="30" customHeight="1">
      <c r="A354" s="6">
        <v>5701901</v>
      </c>
      <c r="C354" s="7" t="s">
        <v>43</v>
      </c>
      <c r="D354" s="7" t="s">
        <v>567</v>
      </c>
      <c r="E354" s="6">
        <v>0.078</v>
      </c>
      <c r="F354" s="7" t="s">
        <v>63</v>
      </c>
      <c r="G354" s="8">
        <v>57.88</v>
      </c>
      <c r="H354" s="9">
        <v>44000</v>
      </c>
      <c r="I354" s="10">
        <f t="shared" si="0"/>
        <v>22</v>
      </c>
      <c r="J354" s="10">
        <f t="shared" si="1"/>
        <v>440</v>
      </c>
      <c r="K354" s="7" t="s">
        <v>457</v>
      </c>
      <c r="P354" s="7">
        <v>67.4</v>
      </c>
      <c r="Q354" s="7">
        <v>97.1</v>
      </c>
      <c r="R354" s="7">
        <v>20.3</v>
      </c>
      <c r="S354" s="7">
        <v>91</v>
      </c>
      <c r="T354" s="7" t="s">
        <v>577</v>
      </c>
      <c r="U354" s="7" t="s">
        <v>498</v>
      </c>
      <c r="V354" s="7" t="s">
        <v>355</v>
      </c>
      <c r="W354" s="7" t="s">
        <v>514</v>
      </c>
      <c r="AA354" s="7">
        <v>0.06</v>
      </c>
      <c r="AB354" s="7">
        <v>1.49</v>
      </c>
      <c r="AC354" s="7">
        <v>0.014</v>
      </c>
      <c r="AD354" s="7">
        <v>0.001</v>
      </c>
      <c r="AE354" s="7">
        <v>0.351</v>
      </c>
      <c r="AF354" s="7">
        <v>0.11</v>
      </c>
      <c r="AG354" s="7">
        <v>0.03</v>
      </c>
      <c r="AH354" s="7">
        <v>0.07</v>
      </c>
      <c r="AI354" s="7">
        <v>0.01</v>
      </c>
      <c r="AJ354" s="7">
        <v>0.006</v>
      </c>
      <c r="AK354" s="7">
        <v>0.044</v>
      </c>
      <c r="AL354" s="7">
        <v>0.005</v>
      </c>
      <c r="AM354" s="7">
        <v>0.05</v>
      </c>
      <c r="AN354" s="7">
        <v>0.003</v>
      </c>
      <c r="AO354" s="7">
        <v>0.0006</v>
      </c>
      <c r="AP354" s="7">
        <v>0.0061</v>
      </c>
      <c r="AQ354" s="7">
        <v>0.0024</v>
      </c>
    </row>
    <row r="355" ht="15" customHeight="1">
      <c r="A355" s="6">
        <v>5640852</v>
      </c>
      <c r="C355" s="7" t="s">
        <v>51</v>
      </c>
      <c r="D355" s="7" t="s">
        <v>567</v>
      </c>
      <c r="E355" s="6">
        <v>0.078</v>
      </c>
      <c r="F355" s="7" t="s">
        <v>63</v>
      </c>
      <c r="G355" s="8">
        <v>58</v>
      </c>
      <c r="H355" s="9">
        <v>54000</v>
      </c>
      <c r="I355" s="10">
        <f t="shared" si="0"/>
        <v>27</v>
      </c>
      <c r="J355" s="10">
        <f t="shared" si="1"/>
        <v>540</v>
      </c>
      <c r="K355" s="7" t="s">
        <v>457</v>
      </c>
      <c r="S355" s="7">
        <v>87</v>
      </c>
      <c r="T355" s="7" t="s">
        <v>577</v>
      </c>
      <c r="U355" s="7" t="s">
        <v>498</v>
      </c>
      <c r="V355" s="7" t="s">
        <v>355</v>
      </c>
      <c r="W355" s="7" t="s">
        <v>677</v>
      </c>
      <c r="X355" s="7" t="s">
        <v>678</v>
      </c>
      <c r="Y355" s="7" t="s">
        <v>679</v>
      </c>
      <c r="AA355" s="7">
        <v>0.05</v>
      </c>
      <c r="AB355" s="7">
        <v>1.41</v>
      </c>
      <c r="AC355" s="7">
        <v>0.012</v>
      </c>
      <c r="AD355" s="7">
        <v>0.001</v>
      </c>
      <c r="AE355" s="7">
        <v>0.313</v>
      </c>
      <c r="AF355" s="7">
        <v>0.12</v>
      </c>
      <c r="AG355" s="7">
        <v>0.03</v>
      </c>
      <c r="AH355" s="7">
        <v>0.05</v>
      </c>
      <c r="AI355" s="7">
        <v>0.01</v>
      </c>
      <c r="AJ355" s="7">
        <v>0.004</v>
      </c>
      <c r="AK355" s="7">
        <v>0.029</v>
      </c>
      <c r="AL355" s="7">
        <v>0.004</v>
      </c>
      <c r="AM355" s="7">
        <v>0.047</v>
      </c>
      <c r="AN355" s="7">
        <v>0.002</v>
      </c>
      <c r="AO355" s="7">
        <v>0.0001</v>
      </c>
      <c r="AP355" s="7">
        <v>0.0059</v>
      </c>
      <c r="AQ355" s="7">
        <v>0.0015</v>
      </c>
    </row>
    <row r="356" ht="30" customHeight="1">
      <c r="A356" s="6">
        <v>5702088</v>
      </c>
      <c r="C356" s="7" t="s">
        <v>43</v>
      </c>
      <c r="D356" s="7" t="s">
        <v>567</v>
      </c>
      <c r="E356" s="6">
        <v>0.079</v>
      </c>
      <c r="F356" s="7" t="s">
        <v>45</v>
      </c>
      <c r="G356" s="8">
        <v>44.38</v>
      </c>
      <c r="H356" s="9">
        <v>38860</v>
      </c>
      <c r="I356" s="10">
        <f t="shared" si="0"/>
        <v>19.43</v>
      </c>
      <c r="J356" s="10">
        <f t="shared" si="1"/>
        <v>388.6</v>
      </c>
      <c r="K356" s="7" t="s">
        <v>457</v>
      </c>
      <c r="P356" s="7">
        <v>65.6</v>
      </c>
      <c r="Q356" s="7">
        <v>92</v>
      </c>
      <c r="R356" s="7">
        <v>22.3</v>
      </c>
      <c r="S356" s="7">
        <v>88</v>
      </c>
      <c r="T356" s="7" t="s">
        <v>594</v>
      </c>
      <c r="U356" s="7" t="s">
        <v>513</v>
      </c>
      <c r="V356" s="7" t="s">
        <v>355</v>
      </c>
      <c r="W356" s="7" t="s">
        <v>514</v>
      </c>
      <c r="AA356" s="7">
        <v>0.06</v>
      </c>
      <c r="AB356" s="7">
        <v>1.47</v>
      </c>
      <c r="AC356" s="7">
        <v>0.011</v>
      </c>
      <c r="AD356" s="7">
        <v>0.002</v>
      </c>
      <c r="AE356" s="7">
        <v>0.333</v>
      </c>
      <c r="AF356" s="7">
        <v>0.12</v>
      </c>
      <c r="AG356" s="7">
        <v>0.03</v>
      </c>
      <c r="AH356" s="7">
        <v>0.05</v>
      </c>
      <c r="AI356" s="7">
        <v>0.01</v>
      </c>
      <c r="AJ356" s="7">
        <v>0.004</v>
      </c>
      <c r="AK356" s="7">
        <v>0.034</v>
      </c>
      <c r="AL356" s="7">
        <v>0.005</v>
      </c>
      <c r="AM356" s="7">
        <v>0.049</v>
      </c>
      <c r="AN356" s="7">
        <v>0.002</v>
      </c>
      <c r="AO356" s="7">
        <v>0.0005</v>
      </c>
      <c r="AP356" s="7">
        <v>0.005</v>
      </c>
      <c r="AQ356" s="7">
        <v>0.0015</v>
      </c>
    </row>
    <row r="357" ht="30" customHeight="1">
      <c r="A357" s="6">
        <v>5693002</v>
      </c>
      <c r="C357" s="7" t="s">
        <v>43</v>
      </c>
      <c r="D357" s="7" t="s">
        <v>567</v>
      </c>
      <c r="E357" s="6">
        <v>0.079</v>
      </c>
      <c r="F357" s="7" t="s">
        <v>45</v>
      </c>
      <c r="G357" s="8">
        <v>47.75</v>
      </c>
      <c r="H357" s="9">
        <v>43040</v>
      </c>
      <c r="I357" s="10">
        <f t="shared" si="0"/>
        <v>21.52</v>
      </c>
      <c r="J357" s="10">
        <f t="shared" si="1"/>
        <v>430.4</v>
      </c>
      <c r="K357" s="7" t="s">
        <v>457</v>
      </c>
      <c r="P357" s="7">
        <v>63.3</v>
      </c>
      <c r="Q357" s="7">
        <v>86.6</v>
      </c>
      <c r="R357" s="7">
        <v>23.4</v>
      </c>
      <c r="S357" s="7">
        <v>87</v>
      </c>
      <c r="T357" s="7" t="s">
        <v>577</v>
      </c>
      <c r="U357" s="7" t="s">
        <v>498</v>
      </c>
      <c r="V357" s="7" t="s">
        <v>355</v>
      </c>
      <c r="W357" s="7" t="s">
        <v>514</v>
      </c>
      <c r="AA357" s="7">
        <v>0.05</v>
      </c>
      <c r="AB357" s="7">
        <v>1.41</v>
      </c>
      <c r="AC357" s="7">
        <v>0.012</v>
      </c>
      <c r="AD357" s="7">
        <v>0.001</v>
      </c>
      <c r="AE357" s="7">
        <v>0.323</v>
      </c>
      <c r="AF357" s="7">
        <v>0.12</v>
      </c>
      <c r="AG357" s="7">
        <v>0.03</v>
      </c>
      <c r="AH357" s="7">
        <v>0.05</v>
      </c>
      <c r="AI357" s="7">
        <v>0.01</v>
      </c>
      <c r="AJ357" s="7">
        <v>0.005</v>
      </c>
      <c r="AK357" s="7">
        <v>0.031</v>
      </c>
      <c r="AL357" s="7">
        <v>0.005</v>
      </c>
      <c r="AM357" s="7">
        <v>0.049</v>
      </c>
      <c r="AN357" s="7">
        <v>0.002</v>
      </c>
      <c r="AO357" s="7">
        <v>0.0005</v>
      </c>
      <c r="AP357" s="7">
        <v>0.0058</v>
      </c>
      <c r="AQ357" s="7">
        <v>0.0017</v>
      </c>
    </row>
    <row r="358" ht="30" customHeight="1">
      <c r="A358" s="6">
        <v>5628030.902</v>
      </c>
      <c r="C358" s="7" t="s">
        <v>43</v>
      </c>
      <c r="D358" s="7" t="s">
        <v>567</v>
      </c>
      <c r="E358" s="6">
        <v>0.079</v>
      </c>
      <c r="F358" s="7" t="s">
        <v>45</v>
      </c>
      <c r="G358" s="8">
        <v>53</v>
      </c>
      <c r="H358" s="9">
        <v>24820</v>
      </c>
      <c r="I358" s="10">
        <f t="shared" si="0"/>
        <v>12.41</v>
      </c>
      <c r="J358" s="10">
        <f t="shared" si="1"/>
        <v>248.2</v>
      </c>
      <c r="K358" s="7" t="s">
        <v>629</v>
      </c>
      <c r="P358" s="7">
        <v>77.2</v>
      </c>
      <c r="Q358" s="7">
        <v>89.3</v>
      </c>
      <c r="R358" s="7">
        <v>21.8</v>
      </c>
      <c r="S358" s="7">
        <v>90</v>
      </c>
      <c r="T358" s="7" t="s">
        <v>575</v>
      </c>
      <c r="U358" s="7" t="s">
        <v>545</v>
      </c>
      <c r="V358" s="7" t="s">
        <v>355</v>
      </c>
      <c r="W358" s="7" t="s">
        <v>514</v>
      </c>
      <c r="X358" s="7" t="s">
        <v>247</v>
      </c>
      <c r="AA358" s="7">
        <v>0.05</v>
      </c>
      <c r="AB358" s="7">
        <v>1.25</v>
      </c>
      <c r="AC358" s="7">
        <v>0.009</v>
      </c>
      <c r="AD358" s="7">
        <v>0.003</v>
      </c>
      <c r="AE358" s="7">
        <v>0.286</v>
      </c>
      <c r="AF358" s="7">
        <v>0.12</v>
      </c>
      <c r="AG358" s="7">
        <v>0.03</v>
      </c>
      <c r="AH358" s="7">
        <v>0.04</v>
      </c>
      <c r="AI358" s="7">
        <v>0.01</v>
      </c>
      <c r="AJ358" s="7">
        <v>0.003</v>
      </c>
      <c r="AK358" s="7">
        <v>0.03</v>
      </c>
      <c r="AL358" s="7">
        <v>0.004</v>
      </c>
      <c r="AM358" s="7">
        <v>0.034</v>
      </c>
      <c r="AN358" s="7">
        <v>0.002</v>
      </c>
      <c r="AO358" s="7">
        <v>0.0001</v>
      </c>
      <c r="AP358" s="7">
        <v>0.0056</v>
      </c>
      <c r="AQ358" s="7">
        <v>0.0019</v>
      </c>
    </row>
    <row r="359" ht="30" customHeight="1">
      <c r="A359" s="6">
        <v>5620114.901</v>
      </c>
      <c r="C359" s="7" t="s">
        <v>51</v>
      </c>
      <c r="D359" s="7" t="s">
        <v>567</v>
      </c>
      <c r="E359" s="6">
        <v>0.079</v>
      </c>
      <c r="F359" s="7" t="s">
        <v>45</v>
      </c>
      <c r="G359" s="8">
        <v>53.16</v>
      </c>
      <c r="H359" s="9">
        <v>11560</v>
      </c>
      <c r="I359" s="10">
        <f t="shared" si="0"/>
        <v>5.78</v>
      </c>
      <c r="J359" s="10">
        <f t="shared" si="1"/>
        <v>115.6</v>
      </c>
      <c r="K359" s="7" t="s">
        <v>121</v>
      </c>
      <c r="P359" s="7">
        <v>57.6</v>
      </c>
      <c r="Q359" s="7">
        <v>90.5</v>
      </c>
      <c r="R359" s="7">
        <v>22.1</v>
      </c>
      <c r="S359" s="7">
        <v>84</v>
      </c>
      <c r="T359" s="7" t="s">
        <v>568</v>
      </c>
      <c r="U359" s="7" t="s">
        <v>498</v>
      </c>
      <c r="V359" s="7" t="s">
        <v>355</v>
      </c>
      <c r="W359" s="7" t="s">
        <v>634</v>
      </c>
      <c r="X359" s="7" t="s">
        <v>587</v>
      </c>
      <c r="Z359" s="7" t="s">
        <v>680</v>
      </c>
      <c r="AA359" s="7">
        <v>0.07</v>
      </c>
      <c r="AB359" s="7">
        <v>1.57</v>
      </c>
      <c r="AC359" s="7">
        <v>0.012</v>
      </c>
      <c r="AD359" s="7">
        <v>0.001</v>
      </c>
      <c r="AE359" s="7">
        <v>0.258</v>
      </c>
      <c r="AF359" s="7">
        <v>0.12</v>
      </c>
      <c r="AG359" s="7">
        <v>0.03</v>
      </c>
      <c r="AH359" s="7">
        <v>0.59</v>
      </c>
      <c r="AI359" s="7">
        <v>0.02</v>
      </c>
      <c r="AJ359" s="7">
        <v>0.003</v>
      </c>
      <c r="AK359" s="7">
        <v>0.037</v>
      </c>
      <c r="AL359" s="7">
        <v>0.006</v>
      </c>
      <c r="AM359" s="7">
        <v>0.011</v>
      </c>
      <c r="AN359" s="7">
        <v>0.014</v>
      </c>
      <c r="AO359" s="7">
        <v>0.0001</v>
      </c>
      <c r="AP359" s="7">
        <v>0.0056</v>
      </c>
      <c r="AQ359" s="7">
        <v>0.0015</v>
      </c>
    </row>
    <row r="360" ht="30" customHeight="1">
      <c r="A360" s="6">
        <v>5637752</v>
      </c>
      <c r="C360" s="7" t="s">
        <v>43</v>
      </c>
      <c r="D360" s="7" t="s">
        <v>567</v>
      </c>
      <c r="E360" s="6">
        <v>0.079</v>
      </c>
      <c r="F360" s="7" t="s">
        <v>45</v>
      </c>
      <c r="G360" s="8">
        <v>56.94</v>
      </c>
      <c r="H360" s="9">
        <v>42640</v>
      </c>
      <c r="I360" s="10">
        <f t="shared" si="0"/>
        <v>21.32</v>
      </c>
      <c r="J360" s="10">
        <f t="shared" si="1"/>
        <v>426.4</v>
      </c>
      <c r="K360" s="7" t="s">
        <v>629</v>
      </c>
      <c r="P360" s="7">
        <v>77.9</v>
      </c>
      <c r="Q360" s="7">
        <v>89.9</v>
      </c>
      <c r="R360" s="7">
        <v>20.7</v>
      </c>
      <c r="S360" s="7">
        <v>90</v>
      </c>
      <c r="T360" s="7" t="s">
        <v>577</v>
      </c>
      <c r="U360" s="7" t="s">
        <v>498</v>
      </c>
      <c r="V360" s="7" t="s">
        <v>355</v>
      </c>
      <c r="W360" s="7" t="s">
        <v>514</v>
      </c>
      <c r="X360" s="7" t="s">
        <v>556</v>
      </c>
      <c r="AA360" s="7">
        <v>0.06</v>
      </c>
      <c r="AB360" s="7">
        <v>1.29</v>
      </c>
      <c r="AC360" s="7">
        <v>0.011</v>
      </c>
      <c r="AD360" s="7">
        <v>0.001</v>
      </c>
      <c r="AE360" s="7">
        <v>0.263</v>
      </c>
      <c r="AF360" s="7">
        <v>0.13</v>
      </c>
      <c r="AG360" s="7">
        <v>0.03</v>
      </c>
      <c r="AH360" s="7">
        <v>0.05</v>
      </c>
      <c r="AI360" s="7">
        <v>0.01</v>
      </c>
      <c r="AJ360" s="7">
        <v>0.005</v>
      </c>
      <c r="AK360" s="7">
        <v>0.026</v>
      </c>
      <c r="AL360" s="7">
        <v>0.004</v>
      </c>
      <c r="AM360" s="7">
        <v>0.032</v>
      </c>
      <c r="AN360" s="7">
        <v>0.001</v>
      </c>
      <c r="AO360" s="7">
        <v>0.0003</v>
      </c>
      <c r="AP360" s="7">
        <v>0.0058</v>
      </c>
      <c r="AQ360" s="7">
        <v>0.0019</v>
      </c>
    </row>
    <row r="361" ht="30" customHeight="1">
      <c r="A361" s="6">
        <v>5620259.902</v>
      </c>
      <c r="C361" s="7" t="s">
        <v>51</v>
      </c>
      <c r="D361" s="7" t="s">
        <v>681</v>
      </c>
      <c r="E361" s="6">
        <v>0.078</v>
      </c>
      <c r="F361" s="7" t="s">
        <v>45</v>
      </c>
      <c r="G361" s="8">
        <v>49.88</v>
      </c>
      <c r="H361" s="9">
        <v>15000</v>
      </c>
      <c r="I361" s="10">
        <f t="shared" si="0"/>
        <v>7.5</v>
      </c>
      <c r="J361" s="10">
        <f t="shared" si="1"/>
        <v>150</v>
      </c>
      <c r="K361" s="7" t="s">
        <v>153</v>
      </c>
      <c r="P361" s="7">
        <v>59.9</v>
      </c>
      <c r="Q361" s="7">
        <v>70.3</v>
      </c>
      <c r="R361" s="7">
        <v>28.8</v>
      </c>
      <c r="S361" s="7">
        <v>79</v>
      </c>
      <c r="T361" s="7" t="s">
        <v>568</v>
      </c>
      <c r="U361" s="7" t="s">
        <v>498</v>
      </c>
      <c r="V361" s="7" t="s">
        <v>355</v>
      </c>
      <c r="W361" s="7" t="s">
        <v>565</v>
      </c>
      <c r="X361" s="7" t="s">
        <v>517</v>
      </c>
      <c r="Y361" s="7" t="s">
        <v>634</v>
      </c>
      <c r="AA361" s="7">
        <v>0.06</v>
      </c>
      <c r="AB361" s="7">
        <v>0.4</v>
      </c>
      <c r="AC361" s="7">
        <v>0.008</v>
      </c>
      <c r="AD361" s="7">
        <v>0.003</v>
      </c>
      <c r="AE361" s="7">
        <v>0.244</v>
      </c>
      <c r="AF361" s="7">
        <v>0.11</v>
      </c>
      <c r="AG361" s="7">
        <v>0.03</v>
      </c>
      <c r="AH361" s="7">
        <v>0.05</v>
      </c>
      <c r="AI361" s="7">
        <v>0.01</v>
      </c>
      <c r="AJ361" s="7">
        <v>0.003</v>
      </c>
      <c r="AK361" s="7">
        <v>0.028</v>
      </c>
      <c r="AL361" s="7">
        <v>0.002</v>
      </c>
      <c r="AM361" s="7">
        <v>0.011</v>
      </c>
      <c r="AN361" s="7">
        <v>0.001</v>
      </c>
      <c r="AO361" s="7">
        <v>0.0001</v>
      </c>
      <c r="AP361" s="7">
        <v>0.0055</v>
      </c>
      <c r="AQ361" s="7">
        <v>0.0014</v>
      </c>
    </row>
    <row r="362" ht="15" customHeight="1">
      <c r="A362" s="6">
        <v>5629946.901</v>
      </c>
      <c r="C362" s="7" t="s">
        <v>51</v>
      </c>
      <c r="D362" s="7" t="s">
        <v>681</v>
      </c>
      <c r="E362" s="6">
        <v>0.097</v>
      </c>
      <c r="F362" s="7" t="s">
        <v>63</v>
      </c>
      <c r="G362" s="8">
        <v>49.06</v>
      </c>
      <c r="H362" s="9">
        <v>11220</v>
      </c>
      <c r="I362" s="10">
        <f t="shared" si="0"/>
        <v>5.61</v>
      </c>
      <c r="J362" s="10">
        <f t="shared" si="1"/>
        <v>112.2</v>
      </c>
      <c r="K362" s="7" t="s">
        <v>90</v>
      </c>
      <c r="S362" s="7">
        <v>62</v>
      </c>
      <c r="T362" s="7" t="s">
        <v>682</v>
      </c>
      <c r="U362" s="7" t="s">
        <v>493</v>
      </c>
      <c r="V362" s="7" t="s">
        <v>47</v>
      </c>
      <c r="W362" s="7" t="s">
        <v>675</v>
      </c>
      <c r="X362" s="7" t="s">
        <v>676</v>
      </c>
      <c r="Y362" s="7" t="s">
        <v>683</v>
      </c>
      <c r="Z362" s="7" t="s">
        <v>684</v>
      </c>
      <c r="AA362" s="7">
        <v>0.04</v>
      </c>
      <c r="AB362" s="7">
        <v>0.2</v>
      </c>
      <c r="AC362" s="7">
        <v>0.011</v>
      </c>
      <c r="AD362" s="7">
        <v>0.003</v>
      </c>
      <c r="AE362" s="7">
        <v>0.024</v>
      </c>
      <c r="AF362" s="7">
        <v>0.11</v>
      </c>
      <c r="AG362" s="7">
        <v>0.03</v>
      </c>
      <c r="AH362" s="7">
        <v>0.05</v>
      </c>
      <c r="AI362" s="7">
        <v>0.01</v>
      </c>
      <c r="AJ362" s="7">
        <v>0.003</v>
      </c>
      <c r="AK362" s="7">
        <v>0.03</v>
      </c>
      <c r="AL362" s="7">
        <v>0.001</v>
      </c>
      <c r="AM362" s="7">
        <v>0.001</v>
      </c>
      <c r="AN362" s="7">
        <v>0.001</v>
      </c>
      <c r="AO362" s="7">
        <v>0.0001</v>
      </c>
      <c r="AP362" s="7">
        <v>0.0048</v>
      </c>
      <c r="AQ362" s="7">
        <v>0.0016</v>
      </c>
    </row>
  </sheetData>
  <sheetProtection sheet="1" objects="1" scenarios="1" algorithmName="SHA-512" hashValue="gYlz+BCHKBMAGGu4lorjSqR6gdeNMPtVC7Zbo6PKTlwy/+/3sHgPorl9e2FAxkgzPyTPlb3IU6pcXN7aoqMihg==" saltValue="g8hHZWbUB4Ubx2hR4eNHbA==" spinCount="100000"/>
  <autoFilter ref="A1:AQ362">
    <sortState ref="D1:D362">
      <sortCondition ref="D1:D362"/>
    </sortState>
  </autoFilter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Norris, Lauren (NSDEC)</dc:creator>
  <cp:keywords/>
  <dc:description/>
  <cp:lastModifiedBy>Moroni, Ludovica</cp:lastModifiedBy>
  <cp:revision/>
  <dcterms:created xsi:type="dcterms:W3CDTF">2026-09-21T14:05:55Z</dcterms:created>
  <dcterms:modified xsi:type="dcterms:W3CDTF">2026-09-26T21:47:47Z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0x0101006A996401455D8D44A169477D654C54DD</vt:lpwstr>
  </property>
  <property fmtid="{D5CDD505-2E9C-101B-9397-08002B2CF9AE}" pid="3" name="MediaServiceImageTags">
    <vt:lpwstr/>
  </property>
</Properties>
</file>